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301" sheetId="2" state="visible" r:id="rId4"/>
  </sheets>
  <definedNames>
    <definedName function="false" hidden="false" localSheetId="0" name="Print_Area" vbProcedure="false">はじめに!$A$1:$D$45</definedName>
    <definedName function="false" hidden="false" localSheetId="1" name="Print_Area" vbProcedure="false">'301'!$A$1:$O$31</definedName>
    <definedName function="false" hidden="false" localSheetId="1" name="Print_Titles" vbProcedure="false">'301'!$8:$8</definedName>
  </definedNames>
  <calcPr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<sst xmlns="http://schemas.openxmlformats.org/spreadsheetml/2006/main" count="1785" uniqueCount="326">
  <si>
    <t xml:space="preserve">学習教材シート　はじめに（最初に必ず読むこと）</t>
  </si>
  <si>
    <r>
      <rPr>
        <sz val="9"/>
        <color rgb="FF55617D"/>
        <rFont val="Noto Sans CJK SC"/>
        <family val="0"/>
      </rPr>
      <t xml:space="preserve">このファイルには、番号</t>
    </r>
    <r>
      <rPr>
        <sz val="9"/>
        <color rgb="FF55617D"/>
        <rFont val=""/>
        <family val="2"/>
        <charset val="2"/>
      </rPr>
      <t xml:space="preserve">01</t>
    </r>
    <r>
      <rPr>
        <sz val="9"/>
        <color rgb="FF55617D"/>
        <rFont val="Noto Sans CJK SC"/>
        <family val="0"/>
      </rPr>
      <t xml:space="preserve">〜</t>
    </r>
    <r>
      <rPr>
        <sz val="9"/>
        <color rgb="FF55617D"/>
        <rFont val=""/>
        <family val="2"/>
        <charset val="2"/>
      </rPr>
      <t xml:space="preserve">32</t>
    </r>
    <r>
      <rPr>
        <sz val="9"/>
        <color rgb="FF55617D"/>
        <rFont val="Noto Sans CJK SC"/>
        <family val="0"/>
      </rPr>
      <t xml:space="preserve">のシートがあります。自分の番号のシートだけに入力してください。他の人のシートは開かない・書き換えない。下の「シート一覧」の番号をクリックすると、そのシートに移動します。</t>
    </r>
  </si>
  <si>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．最初に入力する項目（教材</t>
    </r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冊につき</t>
    </r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行。左から順に）</t>
    </r>
  </si>
  <si>
    <t xml:space="preserve">順番</t>
  </si>
  <si>
    <t xml:space="preserve">項目</t>
  </si>
  <si>
    <t xml:space="preserve">入力例</t>
  </si>
  <si>
    <t xml:space="preserve">入力のしかた・注意</t>
  </si>
  <si>
    <t xml:space="preserve">科目</t>
  </si>
  <si>
    <t xml:space="preserve">英語</t>
  </si>
  <si>
    <t xml:space="preserve">▼の一覧から選ぶ。</t>
  </si>
  <si>
    <t xml:space="preserve">書名</t>
  </si>
  <si>
    <t xml:space="preserve">（例）英単語帳</t>
  </si>
  <si>
    <r>
      <rPr>
        <sz val="10"/>
        <color rgb="FF000000"/>
        <rFont val="Noto Sans CJK SC"/>
        <family val="0"/>
      </rPr>
      <t xml:space="preserve">表紙の書名を正しく書く。同じ本を</t>
    </r>
    <r>
      <rPr>
        <sz val="10"/>
        <color rgb="FF000000"/>
        <rFont val=""/>
        <family val="2"/>
        <charset val="2"/>
      </rPr>
      <t xml:space="preserve">2</t>
    </r>
    <r>
      <rPr>
        <sz val="10"/>
        <color rgb="FF000000"/>
        <rFont val="Noto Sans CJK SC"/>
        <family val="0"/>
      </rPr>
      <t xml:space="preserve">冊目として使う場合も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行にまとめる。</t>
    </r>
  </si>
  <si>
    <t xml:space="preserve">区分</t>
  </si>
  <si>
    <t xml:space="preserve">取組中</t>
  </si>
  <si>
    <t xml:space="preserve">▼から選ぶ。今やっている＝取組中／入試までにやる予定＝これから／もう終わった＝完了。</t>
  </si>
  <si>
    <t xml:space="preserve">単位</t>
  </si>
  <si>
    <t xml:space="preserve">語</t>
  </si>
  <si>
    <t xml:space="preserve">▼から選ぶ（ページ・問・語・章・回）。進み具合を数える単位。</t>
  </si>
  <si>
    <t xml:space="preserve">全体の量</t>
  </si>
  <si>
    <t xml:space="preserve">1900</t>
  </si>
  <si>
    <r>
      <rPr>
        <sz val="10"/>
        <color rgb="FF000000"/>
        <rFont val="Noto Sans CJK SC"/>
        <family val="0"/>
      </rPr>
      <t xml:space="preserve">その本の全部の量を、選んだ単位で数字だけ入力（例：全</t>
    </r>
    <r>
      <rPr>
        <sz val="10"/>
        <color rgb="FF000000"/>
        <rFont val=""/>
        <family val="2"/>
        <charset val="2"/>
      </rPr>
      <t xml:space="preserve">2000</t>
    </r>
    <r>
      <rPr>
        <sz val="10"/>
        <color rgb="FF000000"/>
        <rFont val="Noto Sans CJK SC"/>
        <family val="0"/>
      </rPr>
      <t xml:space="preserve">語なら</t>
    </r>
    <r>
      <rPr>
        <sz val="10"/>
        <color rgb="FF000000"/>
        <rFont val=""/>
        <family val="2"/>
        <charset val="2"/>
      </rPr>
      <t xml:space="preserve">2000</t>
    </r>
    <r>
      <rPr>
        <sz val="10"/>
        <color rgb="FF000000"/>
        <rFont val="Noto Sans CJK SC"/>
        <family val="0"/>
      </rPr>
      <t xml:space="preserve">）。</t>
    </r>
  </si>
  <si>
    <t xml:space="preserve">今いる周</t>
  </si>
  <si>
    <t xml:space="preserve">1</t>
  </si>
  <si>
    <r>
      <rPr>
        <sz val="10"/>
        <color rgb="FF000000"/>
        <rFont val="Noto Sans CJK SC"/>
        <family val="0"/>
      </rPr>
      <t xml:space="preserve">今何周目か。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周目の途中なら「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」、</t>
    </r>
    <r>
      <rPr>
        <sz val="10"/>
        <color rgb="FF000000"/>
        <rFont val=""/>
        <family val="2"/>
        <charset val="2"/>
      </rPr>
      <t xml:space="preserve">2</t>
    </r>
    <r>
      <rPr>
        <sz val="10"/>
        <color rgb="FF000000"/>
        <rFont val="Noto Sans CJK SC"/>
        <family val="0"/>
      </rPr>
      <t xml:space="preserve">周目に入ったら「</t>
    </r>
    <r>
      <rPr>
        <sz val="10"/>
        <color rgb="FF000000"/>
        <rFont val=""/>
        <family val="2"/>
        <charset val="2"/>
      </rPr>
      <t xml:space="preserve">2</t>
    </r>
    <r>
      <rPr>
        <sz val="10"/>
        <color rgb="FF000000"/>
        <rFont val="Noto Sans CJK SC"/>
        <family val="0"/>
      </rPr>
      <t xml:space="preserve">」。</t>
    </r>
  </si>
  <si>
    <t xml:space="preserve">現在位置</t>
  </si>
  <si>
    <t xml:space="preserve">800</t>
  </si>
  <si>
    <r>
      <rPr>
        <sz val="10"/>
        <color rgb="FF000000"/>
        <rFont val="Noto Sans CJK SC"/>
        <family val="0"/>
      </rPr>
      <t xml:space="preserve">今の周でどこまで進んだか（例：</t>
    </r>
    <r>
      <rPr>
        <sz val="10"/>
        <color rgb="FF000000"/>
        <rFont val=""/>
        <family val="2"/>
        <charset val="2"/>
      </rPr>
      <t xml:space="preserve">800</t>
    </r>
    <r>
      <rPr>
        <sz val="10"/>
        <color rgb="FF000000"/>
        <rFont val="Noto Sans CJK SC"/>
        <family val="0"/>
      </rPr>
      <t xml:space="preserve">語目まで終わった→</t>
    </r>
    <r>
      <rPr>
        <sz val="10"/>
        <color rgb="FF000000"/>
        <rFont val=""/>
        <family val="2"/>
        <charset val="2"/>
      </rPr>
      <t xml:space="preserve">800</t>
    </r>
    <r>
      <rPr>
        <sz val="10"/>
        <color rgb="FF000000"/>
        <rFont val="Noto Sans CJK SC"/>
        <family val="0"/>
      </rPr>
      <t xml:space="preserve">）。</t>
    </r>
  </si>
  <si>
    <t xml:space="preserve">目標周回</t>
  </si>
  <si>
    <t xml:space="preserve">3</t>
  </si>
  <si>
    <t xml:space="preserve">入試までに何周するか（先生と面談で決める）。</t>
  </si>
  <si>
    <t xml:space="preserve">完了期限</t>
  </si>
  <si>
    <t xml:space="preserve">11/30</t>
  </si>
  <si>
    <r>
      <rPr>
        <sz val="10"/>
        <color rgb="FF000000"/>
        <rFont val="Noto Sans CJK SC"/>
        <family val="0"/>
      </rPr>
      <t xml:space="preserve">目標周回を終える日。「</t>
    </r>
    <r>
      <rPr>
        <sz val="10"/>
        <color rgb="FF000000"/>
        <rFont val=""/>
        <family val="2"/>
        <charset val="2"/>
      </rPr>
      <t xml:space="preserve">11</t>
    </r>
    <r>
      <rPr>
        <sz val="10"/>
        <color rgb="FF000000"/>
        <rFont val="Noto Sans CJK SC"/>
        <family val="0"/>
      </rPr>
      <t xml:space="preserve">月中」ではなく「</t>
    </r>
    <r>
      <rPr>
        <sz val="10"/>
        <color rgb="FF000000"/>
        <rFont val=""/>
        <family val="2"/>
        <charset val="2"/>
      </rPr>
      <t xml:space="preserve">11/30</t>
    </r>
    <r>
      <rPr>
        <sz val="10"/>
        <color rgb="FF000000"/>
        <rFont val="Noto Sans CJK SC"/>
        <family val="0"/>
      </rPr>
      <t xml:space="preserve">」のように日付で。</t>
    </r>
  </si>
  <si>
    <r>
      <rPr>
        <b val="true"/>
        <sz val="10"/>
        <color rgb="FFFFFFFF"/>
        <rFont val="游ゴシック"/>
        <family val="0"/>
      </rPr>
      <t xml:space="preserve">2</t>
    </r>
    <r>
      <rPr>
        <b val="true"/>
        <sz val="10"/>
        <color rgb="FFFFFFFF"/>
        <rFont val="Noto Sans CJK SC"/>
        <family val="0"/>
      </rPr>
      <t xml:space="preserve">．進んだらやること（週に</t>
    </r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回は更新）</t>
    </r>
  </si>
  <si>
    <t xml:space="preserve">・</t>
  </si>
  <si>
    <r>
      <rPr>
        <sz val="10"/>
        <color rgb="FF000000"/>
        <rFont val="Noto Sans CJK SC"/>
        <family val="0"/>
      </rPr>
      <t xml:space="preserve">進んだら「現在位置」を書き換える。周が変わったら「今いる周」を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つ増やし、「現在位置」を</t>
    </r>
    <r>
      <rPr>
        <sz val="10"/>
        <color rgb="FF000000"/>
        <rFont val=""/>
        <family val="2"/>
        <charset val="2"/>
      </rPr>
      <t xml:space="preserve">0</t>
    </r>
    <r>
      <rPr>
        <sz val="10"/>
        <color rgb="FF000000"/>
        <rFont val="Noto Sans CJK SC"/>
        <family val="0"/>
      </rPr>
      <t xml:space="preserve">からやり直す。</t>
    </r>
  </si>
  <si>
    <t xml:space="preserve">終わった教材は「区分」を「完了」にする（行が淡い色になり、集計の「完了」に数えられる）。</t>
  </si>
  <si>
    <t xml:space="preserve">新しく使う教材が決まったら、空いている行に「これから」で追加する。</t>
  </si>
  <si>
    <r>
      <rPr>
        <sz val="10"/>
        <color rgb="FF000000"/>
        <rFont val="Noto Sans CJK SC"/>
        <family val="0"/>
      </rPr>
      <t xml:space="preserve">「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週間のペース」が自分にできない量になっていたら、次の面談で先生に相談する（期限か周回を見直す）。</t>
    </r>
  </si>
  <si>
    <r>
      <rPr>
        <b val="true"/>
        <sz val="10"/>
        <color rgb="FFFFFFFF"/>
        <rFont val="游ゴシック"/>
        <family val="0"/>
      </rPr>
      <t xml:space="preserve">3</t>
    </r>
    <r>
      <rPr>
        <b val="true"/>
        <sz val="10"/>
        <color rgb="FFFFFFFF"/>
        <rFont val="Noto Sans CJK SC"/>
        <family val="0"/>
      </rPr>
      <t xml:space="preserve">．入力上の注意（やってはいけないこと）</t>
    </r>
  </si>
  <si>
    <t xml:space="preserve">数字は半角で入力する。「語」「ページ」などの文字は付けない（単位は▼で選ぶ）。</t>
  </si>
  <si>
    <t xml:space="preserve">灰色のセル（自動計算）と見出しはロックされている。ロックの解除はしない。</t>
  </si>
  <si>
    <t xml:space="preserve">行や列の挿入・削除、シート名の変更、シートの削除・移動はしない。</t>
  </si>
  <si>
    <t xml:space="preserve">貼り付けるときは「値のみ貼り付け」を使う（普通に貼ると▼や色が崩れる）。</t>
  </si>
  <si>
    <t xml:space="preserve">一番上の灰色の斜体の行は記入例。消さなくてよい（集計には入らない）。</t>
  </si>
  <si>
    <t xml:space="preserve">入力したら必ず保存する（共有フォルダの場合は、閉じる前に保存されたことを確認）。</t>
  </si>
  <si>
    <r>
      <rPr>
        <b val="true"/>
        <sz val="10"/>
        <color rgb="FFFFFFFF"/>
        <rFont val="游ゴシック"/>
        <family val="0"/>
      </rPr>
      <t xml:space="preserve">4</t>
    </r>
    <r>
      <rPr>
        <b val="true"/>
        <sz val="10"/>
        <color rgb="FFFFFFFF"/>
        <rFont val="Noto Sans CJK SC"/>
        <family val="0"/>
      </rPr>
      <t xml:space="preserve">．自動で出る項目の見方</t>
    </r>
  </si>
  <si>
    <t xml:space="preserve">残りの量</t>
  </si>
  <si>
    <r>
      <rPr>
        <sz val="10"/>
        <color rgb="FF000000"/>
        <rFont val="Noto Sans CJK SC"/>
        <family val="0"/>
      </rPr>
      <t xml:space="preserve">目標周回を終えるまでに残っている量（例：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周目の</t>
    </r>
    <r>
      <rPr>
        <sz val="10"/>
        <color rgb="FF000000"/>
        <rFont val=""/>
        <family val="2"/>
        <charset val="2"/>
      </rPr>
      <t xml:space="preserve">800/1900</t>
    </r>
    <r>
      <rPr>
        <sz val="10"/>
        <color rgb="FF000000"/>
        <rFont val="Noto Sans CJK SC"/>
        <family val="0"/>
      </rPr>
      <t xml:space="preserve">なら残り</t>
    </r>
    <r>
      <rPr>
        <sz val="10"/>
        <color rgb="FF000000"/>
        <rFont val=""/>
        <family val="2"/>
        <charset val="2"/>
      </rPr>
      <t xml:space="preserve">1100</t>
    </r>
    <r>
      <rPr>
        <sz val="10"/>
        <color rgb="FF000000"/>
        <rFont val="Noto Sans CJK SC"/>
        <family val="0"/>
      </rPr>
      <t xml:space="preserve">）。</t>
    </r>
  </si>
  <si>
    <r>
      <rPr>
        <b val="true"/>
        <sz val="10"/>
        <color rgb="FF000000"/>
        <rFont val="游ゴシック"/>
        <family val="0"/>
      </rPr>
      <t xml:space="preserve">1</t>
    </r>
    <r>
      <rPr>
        <b val="true"/>
        <sz val="10"/>
        <color rgb="FF000000"/>
        <rFont val="Noto Sans CJK SC"/>
        <family val="0"/>
      </rPr>
      <t xml:space="preserve">週間・</t>
    </r>
    <r>
      <rPr>
        <b val="true"/>
        <sz val="10"/>
        <color rgb="FF000000"/>
        <rFont val="游ゴシック"/>
        <family val="0"/>
      </rPr>
      <t xml:space="preserve">1</t>
    </r>
    <r>
      <rPr>
        <b val="true"/>
        <sz val="10"/>
        <color rgb="FF000000"/>
        <rFont val="Noto Sans CJK SC"/>
        <family val="0"/>
      </rPr>
      <t xml:space="preserve">日のペース</t>
    </r>
  </si>
  <si>
    <r>
      <rPr>
        <sz val="10"/>
        <color rgb="FF000000"/>
        <rFont val="Noto Sans CJK SC"/>
        <family val="0"/>
      </rPr>
      <t xml:space="preserve">今日から完了期限までに終えるために、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週間・</t>
    </r>
    <r>
      <rPr>
        <sz val="10"/>
        <color rgb="FF000000"/>
        <rFont val=""/>
        <family val="2"/>
        <charset val="2"/>
      </rPr>
      <t xml:space="preserve">1</t>
    </r>
    <r>
      <rPr>
        <sz val="10"/>
        <color rgb="FF000000"/>
        <rFont val="Noto Sans CJK SC"/>
        <family val="0"/>
      </rPr>
      <t xml:space="preserve">日に進める量。</t>
    </r>
  </si>
  <si>
    <t xml:space="preserve">全体の進捗</t>
  </si>
  <si>
    <t xml:space="preserve">目標周回全体のうち、どこまで終わったかの割合。</t>
  </si>
  <si>
    <t xml:space="preserve">状態</t>
  </si>
  <si>
    <t xml:space="preserve">完了（淡い色）／期限超過（濃い色）／未入力あり（量や周に空欄がある）。</t>
  </si>
  <si>
    <r>
      <rPr>
        <b val="true"/>
        <sz val="10"/>
        <color rgb="FFFFFFFF"/>
        <rFont val="游ゴシック"/>
        <family val="0"/>
      </rPr>
      <t xml:space="preserve">5</t>
    </r>
    <r>
      <rPr>
        <b val="true"/>
        <sz val="10"/>
        <color rgb="FFFFFFFF"/>
        <rFont val="Noto Sans CJK SC"/>
        <family val="0"/>
      </rPr>
      <t xml:space="preserve">．シート一覧（番号をクリックして移動）</t>
    </r>
  </si>
  <si>
    <t xml:space="preserve">01</t>
  </si>
  <si>
    <t xml:space="preserve">09</t>
  </si>
  <si>
    <t xml:space="preserve">17</t>
  </si>
  <si>
    <t xml:space="preserve">25</t>
  </si>
  <si>
    <t xml:space="preserve">02</t>
  </si>
  <si>
    <t xml:space="preserve">10</t>
  </si>
  <si>
    <t xml:space="preserve">18</t>
  </si>
  <si>
    <t xml:space="preserve">26</t>
  </si>
  <si>
    <t xml:space="preserve">03</t>
  </si>
  <si>
    <t xml:space="preserve">11</t>
  </si>
  <si>
    <t xml:space="preserve">19</t>
  </si>
  <si>
    <t xml:space="preserve">27</t>
  </si>
  <si>
    <t xml:space="preserve">04</t>
  </si>
  <si>
    <t xml:space="preserve">12</t>
  </si>
  <si>
    <t xml:space="preserve">20</t>
  </si>
  <si>
    <t xml:space="preserve">28</t>
  </si>
  <si>
    <t xml:space="preserve">05</t>
  </si>
  <si>
    <t xml:space="preserve">13</t>
  </si>
  <si>
    <t xml:space="preserve">21</t>
  </si>
  <si>
    <t xml:space="preserve">29</t>
  </si>
  <si>
    <t xml:space="preserve">06</t>
  </si>
  <si>
    <t xml:space="preserve">14</t>
  </si>
  <si>
    <t xml:space="preserve">22</t>
  </si>
  <si>
    <t xml:space="preserve">30</t>
  </si>
  <si>
    <t xml:space="preserve">07</t>
  </si>
  <si>
    <t xml:space="preserve">15</t>
  </si>
  <si>
    <t xml:space="preserve">23</t>
  </si>
  <si>
    <t xml:space="preserve">31</t>
  </si>
  <si>
    <t xml:space="preserve">08</t>
  </si>
  <si>
    <t xml:space="preserve">16</t>
  </si>
  <si>
    <t xml:space="preserve">24</t>
  </si>
  <si>
    <t xml:space="preserve">32</t>
  </si>
  <si>
    <r>
      <rPr>
        <b val="true"/>
        <sz val="14"/>
        <color rgb="FFFFFFFF"/>
        <rFont val="Noto Sans CJK SC"/>
        <family val="0"/>
      </rPr>
      <t xml:space="preserve">学習教材　一覧シート　（番号 </t>
    </r>
    <r>
      <rPr>
        <b val="true"/>
        <sz val="14"/>
        <color rgb="FFFFFFFF"/>
        <rFont val=""/>
        <family val="2"/>
        <charset val="2"/>
      </rPr>
      <t xml:space="preserve">01</t>
    </r>
    <r>
      <rPr>
        <b val="true"/>
        <sz val="14"/>
        <color rgb="FFFFFFFF"/>
        <rFont val="Noto Sans CJK SC"/>
        <family val="0"/>
      </rPr>
      <t xml:space="preserve">）</t>
    </r>
  </si>
  <si>
    <r>
      <rPr>
        <sz val="9"/>
        <color rgb="FF55617D"/>
        <rFont val="Noto Sans CJK SC"/>
        <family val="0"/>
      </rPr>
      <t xml:space="preserve">今取り組んでいる教材と、入試までに取り組む教材を</t>
    </r>
    <r>
      <rPr>
        <sz val="9"/>
        <color rgb="FF55617D"/>
        <rFont val=""/>
        <family val="2"/>
        <charset val="2"/>
      </rPr>
      <t xml:space="preserve">1</t>
    </r>
    <r>
      <rPr>
        <sz val="9"/>
        <color rgb="FF55617D"/>
        <rFont val="Noto Sans CJK SC"/>
        <family val="0"/>
      </rPr>
      <t xml:space="preserve">冊</t>
    </r>
    <r>
      <rPr>
        <sz val="9"/>
        <color rgb="FF55617D"/>
        <rFont val=""/>
        <family val="2"/>
        <charset val="2"/>
      </rPr>
      <t xml:space="preserve">1</t>
    </r>
    <r>
      <rPr>
        <sz val="9"/>
        <color rgb="FF55617D"/>
        <rFont val="Noto Sans CJK SC"/>
        <family val="0"/>
      </rPr>
      <t xml:space="preserve">行で書きます。「全体の量」「今いる周」「現在位置」「目標周回」「完了期限」を入れると、残りの量と</t>
    </r>
    <r>
      <rPr>
        <sz val="9"/>
        <color rgb="FF55617D"/>
        <rFont val=""/>
        <family val="2"/>
        <charset val="2"/>
      </rPr>
      <t xml:space="preserve">1</t>
    </r>
    <r>
      <rPr>
        <sz val="9"/>
        <color rgb="FF55617D"/>
        <rFont val="Noto Sans CJK SC"/>
        <family val="0"/>
      </rPr>
      <t xml:space="preserve">週間・</t>
    </r>
    <r>
      <rPr>
        <sz val="9"/>
        <color rgb="FF55617D"/>
        <rFont val=""/>
        <family val="2"/>
        <charset val="2"/>
      </rPr>
      <t xml:space="preserve">1</t>
    </r>
    <r>
      <rPr>
        <sz val="9"/>
        <color rgb="FF55617D"/>
        <rFont val="Noto Sans CJK SC"/>
        <family val="0"/>
      </rPr>
      <t xml:space="preserve">日のペースが自動で出ます。進んだら「今いる周」と「現在位置」を書き換えてください。</t>
    </r>
  </si>
  <si>
    <t xml:space="preserve">入力のしかた：白いセルに入力 ／ ▼のセルは一覧から選択 ／ 薄い灰色のセルは自動計算（入力不要）</t>
  </si>
  <si>
    <t xml:space="preserve">番号</t>
  </si>
  <si>
    <t xml:space="preserve">基準日</t>
  </si>
  <si>
    <t xml:space="preserve">基準日＝今日。ペースは今日から完了期限までの日数で計算します。</t>
  </si>
  <si>
    <t xml:space="preserve">集計</t>
  </si>
  <si>
    <t xml:space="preserve">期限まで（週）</t>
  </si>
  <si>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週間のペース</t>
    </r>
  </si>
  <si>
    <r>
      <rPr>
        <b val="true"/>
        <sz val="10"/>
        <color rgb="FFFFFFFF"/>
        <rFont val="游ゴシック"/>
        <family val="0"/>
      </rPr>
      <t xml:space="preserve">1</t>
    </r>
    <r>
      <rPr>
        <b val="true"/>
        <sz val="10"/>
        <color rgb="FFFFFFFF"/>
        <rFont val="Noto Sans CJK SC"/>
        <family val="0"/>
      </rPr>
      <t xml:space="preserve">日のペース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</si>
  <si>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</si>
  <si>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</si>
  <si>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</si>
  <si>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</si>
  <si>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</si>
  <si>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</si>
  <si>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</si>
  <si>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</si>
  <si>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</si>
  <si>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</si>
  <si>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</si>
  <si>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</si>
  <si>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</si>
  <si>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color rgb="FF55617D"/>
        <rFont val="Noto Sans CJK SC"/>
        <family val="0"/>
      </rPr>
      <t xml:space="preserve">■ 状態：「完了」＝区分を完了にした／残りが</t>
    </r>
    <r>
      <rPr>
        <sz val="9"/>
        <color rgb="FF55617D"/>
        <rFont val=""/>
        <family val="2"/>
        <charset val="2"/>
      </rPr>
      <t xml:space="preserve">0</t>
    </r>
    <r>
      <rPr>
        <sz val="9"/>
        <color rgb="FF55617D"/>
        <rFont val="Noto Sans CJK SC"/>
        <family val="0"/>
      </rPr>
      <t xml:space="preserve">（行が淡い色になる）　「期限超過」＝完了期限を過ぎた（濃い色）　「未入力あり」＝量や周の欄に空きがある。入力のしかた・注意点は「はじめに」シートを見てください。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</si>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</sst>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/d"/>
    <numFmt numFmtId="166" formatCode="General"/>
    <numFmt numFmtId="167" formatCode="#,##0"/>
    <numFmt numFmtId="168" formatCode="m/d"/>
    <numFmt numFmtId="169" formatCode="0.0"/>
    <numFmt numFmtId="170" formatCode="0%"/>
  </numFmts>
  <fonts count="19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游ゴシック"/>
      <family val="0"/>
    </font>
    <font>
      <b val="true"/>
      <sz val="14"/>
      <color rgb="FFFFFFFF"/>
      <name val="Noto Sans CJK SC"/>
      <family val="0"/>
    </font>
    <font>
      <sz val="9"/>
      <color rgb="FF55617D"/>
      <name val="Noto Sans CJK SC"/>
      <family val="0"/>
    </font>
    <font>
      <sz val="9"/>
      <color rgb="FF55617D"/>
      <name val=""/>
      <family val="2"/>
      <charset val="2"/>
    </font>
    <font>
      <b val="true"/>
      <sz val="10"/>
      <color rgb="FFFFFFFF"/>
      <name val="游ゴシック"/>
      <family val="0"/>
    </font>
    <font>
      <b val="true"/>
      <sz val="10"/>
      <color rgb="FFFFFFFF"/>
      <name val="Noto Sans CJK SC"/>
      <family val="0"/>
    </font>
    <font>
      <b val="true"/>
      <sz val="10"/>
      <color rgb="FF000000"/>
      <name val="游ゴシック"/>
      <family val="0"/>
    </font>
    <font>
      <b val="true"/>
      <sz val="10"/>
      <color rgb="FF000000"/>
      <name val="Noto Sans CJK SC"/>
      <family val="0"/>
    </font>
    <font>
      <i val="true"/>
      <sz val="10"/>
      <color rgb="FF55617D"/>
      <name val="Noto Sans CJK SC"/>
      <family val="0"/>
    </font>
    <font>
      <sz val="10"/>
      <color rgb="FF000000"/>
      <name val="Noto Sans CJK SC"/>
      <family val="0"/>
    </font>
    <font>
      <sz val="10"/>
      <color rgb="FF000000"/>
      <name val=""/>
      <family val="2"/>
      <charset val="2"/>
    </font>
    <font>
      <i val="true"/>
      <sz val="10"/>
      <color rgb="FF55617D"/>
      <name val="游ゴシック"/>
      <family val="0"/>
    </font>
    <font>
      <sz val="10"/>
      <color rgb="FF000000"/>
      <name val="游ゴシック"/>
      <family val="0"/>
    </font>
    <font>
      <b val="true"/>
      <u val="single"/>
      <sz val="11"/>
      <color rgb="FF1E2761"/>
      <name val="游ゴシック"/>
      <family val="0"/>
    </font>
    <font>
      <b val="true"/>
      <sz val="14"/>
      <color rgb="FFFFFFFF"/>
      <name val=""/>
      <family val="2"/>
      <charset val="2"/>
    </font>
  </fonts>
  <fills count="6">
    <fill>
      <patternFill patternType="none"/>
    </fill>
    <fill>
      <patternFill patternType="gray125"/>
    </fill>
    <fill>
      <patternFill patternType="solid">
        <fgColor rgb="FFE7EBF2"/>
        <bgColor rgb="FFF4F6FA"/>
      </patternFill>
    </fill>
    <fill>
      <patternFill patternType="solid">
        <fgColor rgb="FF1E2761"/>
        <bgColor rgb="FF333333"/>
      </patternFill>
    </fill>
    <fill>
      <patternFill patternType="solid">
        <fgColor rgb="FFF4F6FA"/>
        <bgColor rgb="FFFFFFFF"/>
      </patternFill>
    </fill>
    <fill>
      <patternFill patternType="solid">
        <fgColor rgb="FF55617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C9D0DE"/>
      </left>
      <right style="hair">
        <color rgb="FFC9D0DE"/>
      </right>
      <top style="hair">
        <color rgb="FFC9D0DE"/>
      </top>
      <bottom style="hair">
        <color rgb="FFC9D0DE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7" fontId="1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6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f1" xfId="20"/>
    <cellStyle name="cf2" xfId="21"/>
  </cellStyles>
  <dxfs count="2">
    <dxf>
      <font>
        <name val="Calibri"/>
        <family val="0"/>
        <color rgb="FF000000"/>
        <sz val="11"/>
      </font>
      <fill>
        <patternFill>
          <bgColor rgb="FFE7EBF2"/>
        </patternFill>
      </fill>
    </dxf>
    <dxf>
      <font>
        <name val="游ゴシック"/>
        <family val="0"/>
        <b val="1"/>
        <color rgb="FFFFFFFF"/>
        <sz val="11"/>
      </font>
      <fill>
        <patternFill>
          <bgColor rgb="FF1E276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A"/>
      <rgbColor rgb="FFE7EBF2"/>
      <rgbColor rgb="FF660066"/>
      <rgbColor rgb="FFFF8080"/>
      <rgbColor rgb="FF0066CC"/>
      <rgbColor rgb="FFC9D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17D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6.62"/>
    <col collapsed="false" customWidth="true" hidden="false" outlineLevel="0" max="2" min="2" style="1" width="22.7"/>
    <col collapsed="false" customWidth="true" hidden="false" outlineLevel="0" max="3" min="3" style="1" width="24.59"/>
    <col collapsed="false" customWidth="true" hidden="false" outlineLevel="0" max="4" min="4" style="1" width="56.76"/>
    <col collapsed="false" customWidth="false" hidden="false" outlineLevel="0" max="16384" min="5" style="1" width="8.24"/>
  </cols>
  <sheetData>
    <row r="1" customFormat="false" ht="30" hidden="false" customHeight="true" outlineLevel="0" collapsed="false">
      <c r="A1" s="2" t="s">
        <v>0</v>
      </c>
      <c r="B1" s="2"/>
      <c r="C1" s="2"/>
      <c r="D1" s="2"/>
    </row>
    <row r="2" customFormat="false" ht="43.5" hidden="false" customHeight="true" outlineLevel="0" collapsed="false">
      <c r="A2" s="3" t="s">
        <v>1</v>
      </c>
      <c r="B2" s="3"/>
      <c r="C2" s="3"/>
      <c r="D2" s="3"/>
    </row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21.75" hidden="false" customHeight="true" outlineLevel="0" collapsed="false">
      <c r="A5" s="4" t="s">
        <v>2</v>
      </c>
      <c r="B5" s="4"/>
      <c r="C5" s="4"/>
      <c r="D5" s="4"/>
    </row>
    <row r="6" customFormat="false" ht="30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27.75" hidden="false" customHeight="true" outlineLevel="0" collapsed="false">
      <c r="A7" s="6" t="n">
        <v>1</v>
      </c>
      <c r="B7" s="7" t="s">
        <v>7</v>
      </c>
      <c r="C7" s="8" t="s">
        <v>8</v>
      </c>
      <c r="D7" s="9" t="s">
        <v>9</v>
      </c>
    </row>
    <row r="8" customFormat="false" ht="27.75" hidden="false" customHeight="true" outlineLevel="0" collapsed="false">
      <c r="A8" s="6" t="n">
        <v>2</v>
      </c>
      <c r="B8" s="7" t="s">
        <v>10</v>
      </c>
      <c r="C8" s="8" t="s">
        <v>11</v>
      </c>
      <c r="D8" s="9" t="s">
        <v>12</v>
      </c>
    </row>
    <row r="9" customFormat="false" ht="27.75" hidden="false" customHeight="true" outlineLevel="0" collapsed="false">
      <c r="A9" s="6" t="n">
        <v>3</v>
      </c>
      <c r="B9" s="7" t="s">
        <v>13</v>
      </c>
      <c r="C9" s="8" t="s">
        <v>14</v>
      </c>
      <c r="D9" s="9" t="s">
        <v>15</v>
      </c>
    </row>
    <row r="10" customFormat="false" ht="27.75" hidden="false" customHeight="true" outlineLevel="0" collapsed="false">
      <c r="A10" s="6" t="n">
        <v>4</v>
      </c>
      <c r="B10" s="7" t="s">
        <v>16</v>
      </c>
      <c r="C10" s="8" t="s">
        <v>17</v>
      </c>
      <c r="D10" s="9" t="s">
        <v>18</v>
      </c>
    </row>
    <row r="11" customFormat="false" ht="27.75" hidden="false" customHeight="true" outlineLevel="0" collapsed="false">
      <c r="A11" s="6" t="n">
        <v>5</v>
      </c>
      <c r="B11" s="7" t="s">
        <v>19</v>
      </c>
      <c r="C11" s="10" t="s">
        <v>20</v>
      </c>
      <c r="D11" s="9" t="s">
        <v>21</v>
      </c>
    </row>
    <row r="12" customFormat="false" ht="27.75" hidden="false" customHeight="true" outlineLevel="0" collapsed="false">
      <c r="A12" s="6" t="n">
        <v>6</v>
      </c>
      <c r="B12" s="7" t="s">
        <v>22</v>
      </c>
      <c r="C12" s="10" t="s">
        <v>23</v>
      </c>
      <c r="D12" s="9" t="s">
        <v>24</v>
      </c>
    </row>
    <row r="13" customFormat="false" ht="27.75" hidden="false" customHeight="true" outlineLevel="0" collapsed="false">
      <c r="A13" s="6" t="n">
        <v>7</v>
      </c>
      <c r="B13" s="7" t="s">
        <v>25</v>
      </c>
      <c r="C13" s="10" t="s">
        <v>26</v>
      </c>
      <c r="D13" s="9" t="s">
        <v>27</v>
      </c>
    </row>
    <row r="14" customFormat="false" ht="27.75" hidden="false" customHeight="true" outlineLevel="0" collapsed="false">
      <c r="A14" s="6" t="n">
        <v>8</v>
      </c>
      <c r="B14" s="7" t="s">
        <v>28</v>
      </c>
      <c r="C14" s="10" t="s">
        <v>29</v>
      </c>
      <c r="D14" s="9" t="s">
        <v>30</v>
      </c>
    </row>
    <row r="15" customFormat="false" ht="27.75" hidden="false" customHeight="true" outlineLevel="0" collapsed="false">
      <c r="A15" s="6" t="n">
        <v>9</v>
      </c>
      <c r="B15" s="7" t="s">
        <v>31</v>
      </c>
      <c r="C15" s="10" t="s">
        <v>32</v>
      </c>
      <c r="D15" s="9" t="s">
        <v>33</v>
      </c>
    </row>
    <row r="16" customFormat="false" ht="13.8" hidden="false" customHeight="false" outlineLevel="0" collapsed="false"/>
    <row r="17" customFormat="false" ht="21.75" hidden="false" customHeight="true" outlineLevel="0" collapsed="false">
      <c r="A17" s="4" t="s">
        <v>34</v>
      </c>
      <c r="B17" s="4"/>
      <c r="C17" s="4"/>
      <c r="D17" s="4"/>
    </row>
    <row r="18" customFormat="false" ht="21.75" hidden="false" customHeight="true" outlineLevel="0" collapsed="false">
      <c r="A18" s="11" t="s">
        <v>35</v>
      </c>
      <c r="B18" s="9" t="s">
        <v>36</v>
      </c>
      <c r="C18" s="9"/>
      <c r="D18" s="9"/>
    </row>
    <row r="19" customFormat="false" ht="21.75" hidden="false" customHeight="true" outlineLevel="0" collapsed="false">
      <c r="A19" s="11" t="s">
        <v>35</v>
      </c>
      <c r="B19" s="9" t="s">
        <v>37</v>
      </c>
      <c r="C19" s="9"/>
      <c r="D19" s="9"/>
    </row>
    <row r="20" customFormat="false" ht="21.75" hidden="false" customHeight="true" outlineLevel="0" collapsed="false">
      <c r="A20" s="11" t="s">
        <v>35</v>
      </c>
      <c r="B20" s="9" t="s">
        <v>38</v>
      </c>
      <c r="C20" s="9"/>
      <c r="D20" s="9"/>
    </row>
    <row r="21" customFormat="false" ht="21.75" hidden="false" customHeight="true" outlineLevel="0" collapsed="false">
      <c r="A21" s="11" t="s">
        <v>35</v>
      </c>
      <c r="B21" s="9" t="s">
        <v>39</v>
      </c>
      <c r="C21" s="9"/>
      <c r="D21" s="9"/>
    </row>
    <row r="22" customFormat="false" ht="13.8" hidden="false" customHeight="false" outlineLevel="0" collapsed="false"/>
    <row r="23" customFormat="false" ht="21.75" hidden="false" customHeight="true" outlineLevel="0" collapsed="false">
      <c r="A23" s="4" t="s">
        <v>40</v>
      </c>
      <c r="B23" s="4"/>
      <c r="C23" s="4"/>
      <c r="D23" s="4"/>
    </row>
    <row r="24" customFormat="false" ht="21.75" hidden="false" customHeight="true" outlineLevel="0" collapsed="false">
      <c r="A24" s="11" t="s">
        <v>35</v>
      </c>
      <c r="B24" s="9" t="s">
        <v>41</v>
      </c>
      <c r="C24" s="9"/>
      <c r="D24" s="9"/>
    </row>
    <row r="25" customFormat="false" ht="21.75" hidden="false" customHeight="true" outlineLevel="0" collapsed="false">
      <c r="A25" s="11" t="s">
        <v>35</v>
      </c>
      <c r="B25" s="9" t="s">
        <v>42</v>
      </c>
      <c r="C25" s="9"/>
      <c r="D25" s="9"/>
    </row>
    <row r="26" customFormat="false" ht="21.75" hidden="false" customHeight="true" outlineLevel="0" collapsed="false">
      <c r="A26" s="11" t="s">
        <v>35</v>
      </c>
      <c r="B26" s="9" t="s">
        <v>43</v>
      </c>
      <c r="C26" s="9"/>
      <c r="D26" s="9"/>
    </row>
    <row r="27" customFormat="false" ht="21.75" hidden="false" customHeight="true" outlineLevel="0" collapsed="false">
      <c r="A27" s="11" t="s">
        <v>35</v>
      </c>
      <c r="B27" s="9" t="s">
        <v>44</v>
      </c>
      <c r="C27" s="9"/>
      <c r="D27" s="9"/>
    </row>
    <row r="28" customFormat="false" ht="21.75" hidden="false" customHeight="true" outlineLevel="0" collapsed="false">
      <c r="A28" s="11" t="s">
        <v>35</v>
      </c>
      <c r="B28" s="9" t="s">
        <v>45</v>
      </c>
      <c r="C28" s="9"/>
      <c r="D28" s="9"/>
    </row>
    <row r="29" customFormat="false" ht="21.75" hidden="false" customHeight="true" outlineLevel="0" collapsed="false">
      <c r="A29" s="11" t="s">
        <v>35</v>
      </c>
      <c r="B29" s="9" t="s">
        <v>46</v>
      </c>
      <c r="C29" s="9"/>
      <c r="D29" s="9"/>
    </row>
    <row r="30" customFormat="false" ht="13.8" hidden="false" customHeight="false" outlineLevel="0" collapsed="false"/>
    <row r="31" customFormat="false" ht="21.75" hidden="false" customHeight="true" outlineLevel="0" collapsed="false">
      <c r="A31" s="4" t="s">
        <v>47</v>
      </c>
      <c r="B31" s="4"/>
      <c r="C31" s="4"/>
      <c r="D31" s="4"/>
    </row>
    <row r="32" customFormat="false" ht="15" hidden="false" customHeight="true" outlineLevel="0" collapsed="false">
      <c r="A32" s="12"/>
      <c r="B32" s="13" t="s">
        <v>48</v>
      </c>
      <c r="C32" s="9" t="s">
        <v>49</v>
      </c>
      <c r="D32" s="9"/>
    </row>
    <row r="33" customFormat="false" ht="15" hidden="false" customHeight="true" outlineLevel="0" collapsed="false">
      <c r="A33" s="12"/>
      <c r="B33" s="14" t="s">
        <v>50</v>
      </c>
      <c r="C33" s="9" t="s">
        <v>51</v>
      </c>
      <c r="D33" s="9"/>
    </row>
    <row r="34" customFormat="false" ht="15" hidden="false" customHeight="true" outlineLevel="0" collapsed="false">
      <c r="A34" s="12"/>
      <c r="B34" s="13" t="s">
        <v>52</v>
      </c>
      <c r="C34" s="9" t="s">
        <v>53</v>
      </c>
      <c r="D34" s="9"/>
    </row>
    <row r="35" customFormat="false" ht="15" hidden="false" customHeight="true" outlineLevel="0" collapsed="false">
      <c r="A35" s="12"/>
      <c r="B35" s="13" t="s">
        <v>54</v>
      </c>
      <c r="C35" s="9" t="s">
        <v>55</v>
      </c>
      <c r="D35" s="9"/>
    </row>
    <row r="36" customFormat="false" ht="13.8" hidden="false" customHeight="false" outlineLevel="0" collapsed="false"/>
    <row r="37" customFormat="false" ht="21.75" hidden="false" customHeight="true" outlineLevel="0" collapsed="false">
      <c r="A37" s="4" t="s">
        <v>56</v>
      </c>
      <c r="B37" s="4"/>
      <c r="C37" s="4"/>
      <c r="D37" s="4"/>
    </row>
    <row r="38" customFormat="false" ht="15.65" hidden="false" customHeight="false" outlineLevel="0" collapsed="false">
      <c r="A38" s="15" t="s">
        <v>57</v>
      </c>
      <c r="B38" s="15" t="s">
        <v>58</v>
      </c>
      <c r="C38" s="15" t="s">
        <v>59</v>
      </c>
      <c r="D38" s="15" t="s">
        <v>60</v>
      </c>
    </row>
    <row r="39" customFormat="false" ht="15.65" hidden="false" customHeight="false" outlineLevel="0" collapsed="false">
      <c r="A39" s="15" t="s">
        <v>61</v>
      </c>
      <c r="B39" s="15" t="s">
        <v>62</v>
      </c>
      <c r="C39" s="15" t="s">
        <v>63</v>
      </c>
      <c r="D39" s="15" t="s">
        <v>64</v>
      </c>
    </row>
    <row r="40" customFormat="false" ht="15.65" hidden="false" customHeight="false" outlineLevel="0" collapsed="false">
      <c r="A40" s="15" t="s">
        <v>65</v>
      </c>
      <c r="B40" s="15" t="s">
        <v>66</v>
      </c>
      <c r="C40" s="15" t="s">
        <v>67</v>
      </c>
      <c r="D40" s="15" t="s">
        <v>68</v>
      </c>
    </row>
    <row r="41" customFormat="false" ht="15.65" hidden="false" customHeight="false" outlineLevel="0" collapsed="false">
      <c r="A41" s="15" t="s">
        <v>69</v>
      </c>
      <c r="B41" s="15" t="s">
        <v>70</v>
      </c>
      <c r="C41" s="15" t="s">
        <v>71</v>
      </c>
      <c r="D41" s="15" t="s">
        <v>72</v>
      </c>
    </row>
    <row r="42" customFormat="false" ht="15.65" hidden="false" customHeight="false" outlineLevel="0" collapsed="false">
      <c r="A42" s="15" t="s">
        <v>73</v>
      </c>
      <c r="B42" s="15" t="s">
        <v>74</v>
      </c>
      <c r="C42" s="15" t="s">
        <v>75</v>
      </c>
      <c r="D42" s="15" t="s">
        <v>76</v>
      </c>
    </row>
    <row r="43" customFormat="false" ht="15.65" hidden="false" customHeight="false" outlineLevel="0" collapsed="false">
      <c r="A43" s="15" t="s">
        <v>77</v>
      </c>
      <c r="B43" s="15" t="s">
        <v>78</v>
      </c>
      <c r="C43" s="15" t="s">
        <v>79</v>
      </c>
      <c r="D43" s="15" t="s">
        <v>80</v>
      </c>
    </row>
    <row r="44" customFormat="false" ht="15.65" hidden="false" customHeight="false" outlineLevel="0" collapsed="false">
      <c r="A44" s="15" t="s">
        <v>81</v>
      </c>
      <c r="B44" s="15" t="s">
        <v>82</v>
      </c>
      <c r="C44" s="15" t="s">
        <v>83</v>
      </c>
      <c r="D44" s="15" t="s">
        <v>84</v>
      </c>
    </row>
    <row r="45" customFormat="false" ht="15.65" hidden="false" customHeight="false" outlineLevel="0" collapsed="false">
      <c r="A45" s="15" t="s">
        <v>85</v>
      </c>
      <c r="B45" s="15" t="s">
        <v>86</v>
      </c>
      <c r="C45" s="15" t="s">
        <v>87</v>
      </c>
      <c r="D45" s="15" t="s">
        <v>88</v>
      </c>
    </row>
  </sheetData>
  <sheetProtection sheet="true" objects="true" scenarios="true"/>
  <mergeCells count="21">
    <mergeCell ref="A1:D1"/>
    <mergeCell ref="A2:D2"/>
    <mergeCell ref="A5:D5"/>
    <mergeCell ref="A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  <mergeCell ref="B28:D28"/>
    <mergeCell ref="B29:D29"/>
    <mergeCell ref="A31:D31"/>
    <mergeCell ref="C32:D32"/>
    <mergeCell ref="C33:D33"/>
    <mergeCell ref="C34:D34"/>
    <mergeCell ref="C35:D35"/>
    <mergeCell ref="A37:D37"/>
  </mergeCells>
  <printOptions headings="false" gridLines="false" gridLinesSet="true" horizontalCentered="true" verticalCentered="false"/>
  <pageMargins left="0.4" right="0.4" top="0.5" bottom="0.5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24609375" defaultRowHeight="15" zeroHeight="false" outlineLevelRow="0" outlineLevelCol="0"/>
  <cols>
    <col collapsed="false" customWidth="true" hidden="false" outlineLevel="0" max="1" min="1" style="1" width="8.51"/>
    <col collapsed="false" customWidth="true" hidden="false" outlineLevel="0" max="2" min="2" style="1" width="28.38"/>
    <col collapsed="false" customWidth="true" hidden="false" outlineLevel="0" max="3" min="3" style="1" width="8.51"/>
    <col collapsed="false" customWidth="true" hidden="false" outlineLevel="0" max="4" min="4" style="1" width="6.62"/>
    <col collapsed="false" customWidth="true" hidden="false" outlineLevel="0" max="5" min="5" style="1" width="7.57"/>
    <col collapsed="false" customWidth="true" hidden="false" outlineLevel="0" max="6" min="6" style="1" width="6.62"/>
    <col collapsed="false" customWidth="true" hidden="false" outlineLevel="0" max="7" min="7" style="1" width="7.57"/>
    <col collapsed="false" customWidth="true" hidden="false" outlineLevel="0" max="8" min="8" style="1" width="6.62"/>
    <col collapsed="false" customWidth="true" hidden="false" outlineLevel="0" max="10" min="9" style="1" width="8.51"/>
    <col collapsed="false" customWidth="true" hidden="false" outlineLevel="0" max="11" min="11" style="1" width="7.57"/>
    <col collapsed="false" customWidth="true" hidden="false" outlineLevel="0" max="12" min="12" style="1" width="10.4"/>
    <col collapsed="false" customWidth="true" hidden="false" outlineLevel="0" max="13" min="13" style="1" width="9.46"/>
    <col collapsed="false" customWidth="true" hidden="false" outlineLevel="0" max="14" min="14" style="1" width="7.57"/>
    <col collapsed="false" customWidth="true" hidden="false" outlineLevel="0" max="15" min="15" style="1" width="8.51"/>
    <col collapsed="false" customWidth="false" hidden="false" outlineLevel="0" max="16384" min="16" style="1" width="8.24"/>
  </cols>
  <sheetData>
    <row r="1" customFormat="false" ht="30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43.5" hidden="false" customHeight="true" outlineLevel="0" collapsed="false">
      <c r="A2" s="3" t="s">
        <v>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3.8" hidden="false" customHeight="false" outlineLevel="0" collapsed="false"/>
    <row r="4" customFormat="false" ht="18" hidden="false" customHeight="true" outlineLevel="0" collapsed="false">
      <c r="A4" s="3" t="s">
        <v>91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5" hidden="false" customHeight="true" outlineLevel="0" collapsed="false">
      <c r="A5" s="13" t="s">
        <v>92</v>
      </c>
      <c r="B5" s="16" t="s">
        <v>57</v>
      </c>
      <c r="C5" s="13" t="s">
        <v>93</v>
      </c>
      <c r="D5" s="17" t="n">
        <f aca="true">TODAY()</f>
        <v>46321</v>
      </c>
      <c r="E5" s="17"/>
      <c r="F5" s="18" t="s">
        <v>94</v>
      </c>
      <c r="G5" s="18"/>
      <c r="H5" s="18"/>
      <c r="I5" s="18"/>
      <c r="J5" s="18"/>
      <c r="K5" s="18"/>
      <c r="L5" s="18"/>
      <c r="M5" s="18"/>
      <c r="N5" s="18"/>
      <c r="O5" s="18"/>
    </row>
    <row r="6" customFormat="false" ht="14.15" hidden="false" customHeight="false" outlineLevel="0" collapsed="false">
      <c r="A6" s="13" t="s">
        <v>95</v>
      </c>
      <c r="B6" s="19" t="str">
        <f aca="false">"登録した教材 "&amp;COUNTA(B10:B29)&amp;" 冊"&amp;"　／　"&amp;"取組中 "&amp;COUNTIF(C10:C29,"取組中")&amp;" 冊"&amp;"　／　"&amp;"これから "&amp;COUNTIF(C10:C29,"これから")&amp;" 冊"&amp;"　／　"&amp;"完了 "&amp;COUNTIF(O10:O29,"完了")&amp;" 冊"&amp;"　／　"&amp;"期限超過 "&amp;COUNTIF(O10:O29,"期限超過")&amp;" 冊"</f>
        <v>登録した教材 7 冊　／　取組中 5 冊　／　これから 1 冊　／　完了 1 冊　／　期限超過 1 冊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7" customFormat="false" ht="13.8" hidden="false" customHeight="false" outlineLevel="0" collapsed="false"/>
    <row r="8" customFormat="false" ht="33.75" hidden="false" customHeight="true" outlineLevel="0" collapsed="false">
      <c r="A8" s="5" t="s">
        <v>7</v>
      </c>
      <c r="B8" s="5" t="s">
        <v>10</v>
      </c>
      <c r="C8" s="5" t="s">
        <v>13</v>
      </c>
      <c r="D8" s="5" t="s">
        <v>16</v>
      </c>
      <c r="E8" s="5" t="s">
        <v>19</v>
      </c>
      <c r="F8" s="5" t="s">
        <v>22</v>
      </c>
      <c r="G8" s="5" t="s">
        <v>25</v>
      </c>
      <c r="H8" s="5" t="s">
        <v>28</v>
      </c>
      <c r="I8" s="5" t="s">
        <v>31</v>
      </c>
      <c r="J8" s="20" t="s">
        <v>48</v>
      </c>
      <c r="K8" s="20" t="s">
        <v>96</v>
      </c>
      <c r="L8" s="21" t="s">
        <v>97</v>
      </c>
      <c r="M8" s="21" t="s">
        <v>98</v>
      </c>
      <c r="N8" s="20" t="s">
        <v>52</v>
      </c>
      <c r="O8" s="20" t="s">
        <v>54</v>
      </c>
    </row>
    <row r="9" customFormat="false" ht="18.75" hidden="false" customHeight="true" outlineLevel="0" collapsed="false">
      <c r="A9" s="8" t="s">
        <v>8</v>
      </c>
      <c r="B9" s="22" t="s">
        <v>11</v>
      </c>
      <c r="C9" s="8" t="s">
        <v>14</v>
      </c>
      <c r="D9" s="8" t="s">
        <v>17</v>
      </c>
      <c r="E9" s="23" t="n">
        <v>1900</v>
      </c>
      <c r="F9" s="8" t="n">
        <v>1</v>
      </c>
      <c r="G9" s="23" t="n">
        <v>800</v>
      </c>
      <c r="H9" s="8" t="n">
        <v>1</v>
      </c>
      <c r="I9" s="24" t="n">
        <v>46356</v>
      </c>
      <c r="J9" s="25" t="n">
        <f aca="false">IF(AND(ISNUMBER(E9),ISNUMBER(F9),ISNUMBER(G9),ISNUMBER(H9)),MAX(0,(H9-F9)*E9+E9-G9),"")</f>
        <v>1100</v>
      </c>
      <c r="K9" s="26" t="n">
        <f aca="false">IF(NOT(ISNUMBER(I9)),"",IF(I9&lt;=$D$5,"期限超過",ROUND((I9-$D$5)/7,1)))</f>
        <v>5</v>
      </c>
      <c r="L9" s="16" t="str">
        <f aca="false">IF(OR(J9="",NOT(ISNUMBER(K9))),"",IF(J9=0,"-",ROUNDUP(J9/((I9-$D$5)/7),0)&amp;" "&amp;D9))</f>
        <v>220 語</v>
      </c>
      <c r="M9" s="16" t="str">
        <f aca="false">IF(OR(J9="",NOT(ISNUMBER(K9))),"",IF(J9=0,"-",ROUNDUP(J9/(I9-$D$5),0)&amp;" "&amp;D9))</f>
        <v>32 語</v>
      </c>
      <c r="N9" s="27" t="n">
        <f aca="false">IF(AND(AND(ISNUMBER(E9),ISNUMBER(F9),ISNUMBER(G9),ISNUMBER(H9)),N(E9)*N(H9)&gt;0),MIN(1,((F9-1)*E9+G9)/(E9*H9)),"")</f>
        <v>0.421052631578947</v>
      </c>
      <c r="O9" s="28" t="str">
        <f aca="false">IF(B9="","",IF(OR(C9="完了",J9=0),"完了",IF(K9="期限超過","期限超過",IF(J9="","未入力あり",""))))</f>
        <v/>
      </c>
    </row>
    <row r="10" customFormat="false" ht="18.75" hidden="false" customHeight="true" outlineLevel="0" collapsed="false">
      <c r="A10" s="29"/>
      <c r="B10" s="30"/>
      <c r="C10" s="29"/>
      <c r="D10" s="29"/>
      <c r="E10" s="31"/>
      <c r="F10" s="29"/>
      <c r="G10" s="31"/>
      <c r="H10" s="29"/>
      <c r="I10" s="32"/>
      <c r="J10" s="25">
        <f aca="false">IF(AND(ISNUMBER(E10),ISNUMBER(F10),ISNUMBER(G10),ISNUMBER(H10)),MAX(0,(H10-F10)*E10+E10-G10),"")</f>
      </c>
      <c r="K10" s="26">
        <f aca="false">IF(NOT(ISNUMBER(I10)),"",IF(I10&lt;=$D$5,"期限超過",ROUND((I10-$D$5)/7,1)))</f>
      </c>
      <c r="L10" s="16">
        <f aca="false">IF(OR(J10="",NOT(ISNUMBER(K10))),"",IF(J10=0,"-",ROUNDUP(J10/((I10-$D$5)/7),0)&amp;" "&amp;D10))</f>
      </c>
      <c r="M10" s="16">
        <f aca="false">IF(OR(J10="",NOT(ISNUMBER(K10))),"",IF(J10=0,"-",ROUNDUP(J10/(I10-$D$5),0)&amp;" "&amp;D10))</f>
      </c>
      <c r="N10" s="27">
        <f aca="false">IF(AND(AND(ISNUMBER(E10),ISNUMBER(F10),ISNUMBER(G10),ISNUMBER(H10)),N(E10)*N(H10)&gt;0),MIN(1,((F10-1)*E10+G10)/(E10*H10)),"")</f>
      </c>
      <c r="O10" s="28">
        <f aca="false">IF(B10="","",IF(OR(C10="完了",J10=0),"完了",IF(K10="期限超過","期限超過",IF(J10="","未入力あり",""))))</f>
      </c>
    </row>
    <row r="11" customFormat="false" ht="18.75" hidden="false" customHeight="true" outlineLevel="0" collapsed="false">
      <c r="A11" s="29"/>
      <c r="B11" s="30"/>
      <c r="C11" s="29"/>
      <c r="D11" s="29"/>
      <c r="E11" s="31"/>
      <c r="F11" s="29"/>
      <c r="G11" s="31"/>
      <c r="H11" s="29"/>
      <c r="I11" s="32"/>
      <c r="J11" s="25">
        <f aca="false">IF(AND(ISNUMBER(E11),ISNUMBER(F11),ISNUMBER(G11),ISNUMBER(H11)),MAX(0,(H11-F11)*E11+E11-G11),"")</f>
      </c>
      <c r="K11" s="26">
        <f aca="false">IF(NOT(ISNUMBER(I11)),"",IF(I11&lt;=$D$5,"期限超過",ROUND((I11-$D$5)/7,1)))</f>
      </c>
      <c r="L11" s="16">
        <f aca="false">IF(OR(J11="",NOT(ISNUMBER(K11))),"",IF(J11=0,"-",ROUNDUP(J11/((I11-$D$5)/7),0)&amp;" "&amp;D11))</f>
      </c>
      <c r="M11" s="16">
        <f aca="false">IF(OR(J11="",NOT(ISNUMBER(K11))),"",IF(J11=0,"-",ROUNDUP(J11/(I11-$D$5),0)&amp;" "&amp;D11))</f>
      </c>
      <c r="N11" s="27">
        <f aca="false">IF(AND(AND(ISNUMBER(E11),ISNUMBER(F11),ISNUMBER(G11),ISNUMBER(H11)),N(E11)*N(H11)&gt;0),MIN(1,((F11-1)*E11+G11)/(E11*H11)),"")</f>
      </c>
      <c r="O11" s="28">
        <f aca="false">IF(B11="","",IF(OR(C11="完了",J11=0),"完了",IF(K11="期限超過","期限超過",IF(J11="","未入力あり",""))))</f>
      </c>
    </row>
    <row r="12" customFormat="false" ht="18.75" hidden="false" customHeight="true" outlineLevel="0" collapsed="false">
      <c r="A12" s="29"/>
      <c r="B12" s="30"/>
      <c r="C12" s="29"/>
      <c r="D12" s="29"/>
      <c r="E12" s="31"/>
      <c r="F12" s="29"/>
      <c r="G12" s="31"/>
      <c r="H12" s="29"/>
      <c r="I12" s="32"/>
      <c r="J12" s="25">
        <f aca="false">IF(AND(ISNUMBER(E12),ISNUMBER(F12),ISNUMBER(G12),ISNUMBER(H12)),MAX(0,(H12-F12)*E12+E12-G12),"")</f>
      </c>
      <c r="K12" s="26">
        <f aca="false">IF(NOT(ISNUMBER(I12)),"",IF(I12&lt;=$D$5,"期限超過",ROUND((I12-$D$5)/7,1)))</f>
      </c>
      <c r="L12" s="16">
        <f aca="false">IF(OR(J12="",NOT(ISNUMBER(K12))),"",IF(J12=0,"-",ROUNDUP(J12/((I12-$D$5)/7),0)&amp;" "&amp;D12))</f>
      </c>
      <c r="M12" s="16">
        <f aca="false">IF(OR(J12="",NOT(ISNUMBER(K12))),"",IF(J12=0,"-",ROUNDUP(J12/(I12-$D$5),0)&amp;" "&amp;D12))</f>
      </c>
      <c r="N12" s="27">
        <f aca="false">IF(AND(AND(ISNUMBER(E12),ISNUMBER(F12),ISNUMBER(G12),ISNUMBER(H12)),N(E12)*N(H12)&gt;0),MIN(1,((F12-1)*E12+G12)/(E12*H12)),"")</f>
      </c>
      <c r="O12" s="28">
        <f aca="false">IF(B12="","",IF(OR(C12="完了",J12=0),"完了",IF(K12="期限超過","期限超過",IF(J12="","未入力あり",""))))</f>
      </c>
    </row>
    <row r="13" customFormat="false" ht="18.75" hidden="false" customHeight="true" outlineLevel="0" collapsed="false">
      <c r="A13" s="29"/>
      <c r="B13" s="30"/>
      <c r="C13" s="29"/>
      <c r="D13" s="29"/>
      <c r="E13" s="31"/>
      <c r="F13" s="29"/>
      <c r="G13" s="31"/>
      <c r="H13" s="29"/>
      <c r="I13" s="32"/>
      <c r="J13" s="25">
        <f aca="false">IF(AND(ISNUMBER(E13),ISNUMBER(F13),ISNUMBER(G13),ISNUMBER(H13)),MAX(0,(H13-F13)*E13+E13-G13),"")</f>
      </c>
      <c r="K13" s="26">
        <f aca="false">IF(NOT(ISNUMBER(I13)),"",IF(I13&lt;=$D$5,"期限超過",ROUND((I13-$D$5)/7,1)))</f>
      </c>
      <c r="L13" s="16">
        <f aca="false">IF(OR(J13="",NOT(ISNUMBER(K13))),"",IF(J13=0,"-",ROUNDUP(J13/((I13-$D$5)/7),0)&amp;" "&amp;D13))</f>
      </c>
      <c r="M13" s="16">
        <f aca="false">IF(OR(J13="",NOT(ISNUMBER(K13))),"",IF(J13=0,"-",ROUNDUP(J13/(I13-$D$5),0)&amp;" "&amp;D13))</f>
      </c>
      <c r="N13" s="27">
        <f aca="false">IF(AND(AND(ISNUMBER(E13),ISNUMBER(F13),ISNUMBER(G13),ISNUMBER(H13)),N(E13)*N(H13)&gt;0),MIN(1,((F13-1)*E13+G13)/(E13*H13)),"")</f>
      </c>
      <c r="O13" s="28">
        <f aca="false">IF(B13="","",IF(OR(C13="完了",J13=0),"完了",IF(K13="期限超過","期限超過",IF(J13="","未入力あり",""))))</f>
      </c>
    </row>
    <row r="14" customFormat="false" ht="18.75" hidden="false" customHeight="true" outlineLevel="0" collapsed="false">
      <c r="A14" s="29"/>
      <c r="B14" s="30"/>
      <c r="C14" s="29"/>
      <c r="D14" s="29"/>
      <c r="E14" s="31"/>
      <c r="F14" s="29"/>
      <c r="G14" s="31"/>
      <c r="H14" s="29"/>
      <c r="I14" s="32"/>
      <c r="J14" s="25">
        <f aca="false">IF(AND(ISNUMBER(E14),ISNUMBER(F14),ISNUMBER(G14),ISNUMBER(H14)),MAX(0,(H14-F14)*E14+E14-G14),"")</f>
      </c>
      <c r="K14" s="26">
        <f aca="false">IF(NOT(ISNUMBER(I14)),"",IF(I14&lt;=$D$5,"期限超過",ROUND((I14-$D$5)/7,1)))</f>
      </c>
      <c r="L14" s="16">
        <f aca="false">IF(OR(J14="",NOT(ISNUMBER(K14))),"",IF(J14=0,"-",ROUNDUP(J14/((I14-$D$5)/7),0)&amp;" "&amp;D14))</f>
      </c>
      <c r="M14" s="16">
        <f aca="false">IF(OR(J14="",NOT(ISNUMBER(K14))),"",IF(J14=0,"-",ROUNDUP(J14/(I14-$D$5),0)&amp;" "&amp;D14))</f>
      </c>
      <c r="N14" s="27">
        <f aca="false">IF(AND(AND(ISNUMBER(E14),ISNUMBER(F14),ISNUMBER(G14),ISNUMBER(H14)),N(E14)*N(H14)&gt;0),MIN(1,((F14-1)*E14+G14)/(E14*H14)),"")</f>
      </c>
      <c r="O14" s="28">
        <f aca="false">IF(B14="","",IF(OR(C14="完了",J14=0),"完了",IF(K14="期限超過","期限超過",IF(J14="","未入力あり",""))))</f>
      </c>
    </row>
    <row r="15" customFormat="false" ht="18.75" hidden="false" customHeight="true" outlineLevel="0" collapsed="false">
      <c r="A15" s="29"/>
      <c r="B15" s="30"/>
      <c r="C15" s="29"/>
      <c r="D15" s="29"/>
      <c r="E15" s="31"/>
      <c r="F15" s="29"/>
      <c r="G15" s="31"/>
      <c r="H15" s="29"/>
      <c r="I15" s="32"/>
      <c r="J15" s="25">
        <f aca="false">IF(AND(ISNUMBER(E15),ISNUMBER(F15),ISNUMBER(G15),ISNUMBER(H15)),MAX(0,(H15-F15)*E15+E15-G15),"")</f>
      </c>
      <c r="K15" s="26">
        <f aca="false">IF(NOT(ISNUMBER(I15)),"",IF(I15&lt;=$D$5,"期限超過",ROUND((I15-$D$5)/7,1)))</f>
      </c>
      <c r="L15" s="16">
        <f aca="false">IF(OR(J15="",NOT(ISNUMBER(K15))),"",IF(J15=0,"-",ROUNDUP(J15/((I15-$D$5)/7),0)&amp;" "&amp;D15))</f>
      </c>
      <c r="M15" s="16">
        <f aca="false">IF(OR(J15="",NOT(ISNUMBER(K15))),"",IF(J15=0,"-",ROUNDUP(J15/(I15-$D$5),0)&amp;" "&amp;D15))</f>
      </c>
      <c r="N15" s="27">
        <f aca="false">IF(AND(AND(ISNUMBER(E15),ISNUMBER(F15),ISNUMBER(G15),ISNUMBER(H15)),N(E15)*N(H15)&gt;0),MIN(1,((F15-1)*E15+G15)/(E15*H15)),"")</f>
      </c>
      <c r="O15" s="28">
        <f aca="false">IF(B15="","",IF(OR(C15="完了",J15=0),"完了",IF(K15="期限超過","期限超過",IF(J15="","未入力あり",""))))</f>
      </c>
    </row>
    <row r="16" customFormat="false" ht="18.75" hidden="false" customHeight="true" outlineLevel="0" collapsed="false">
      <c r="A16" s="29"/>
      <c r="B16" s="30"/>
      <c r="C16" s="29"/>
      <c r="D16" s="29"/>
      <c r="E16" s="31"/>
      <c r="F16" s="29"/>
      <c r="G16" s="31"/>
      <c r="H16" s="29"/>
      <c r="I16" s="32"/>
      <c r="J16" s="25">
        <f aca="false">IF(AND(ISNUMBER(E16),ISNUMBER(F16),ISNUMBER(G16),ISNUMBER(H16)),MAX(0,(H16-F16)*E16+E16-G16),"")</f>
      </c>
      <c r="K16" s="26">
        <f aca="false">IF(NOT(ISNUMBER(I16)),"",IF(I16&lt;=$D$5,"期限超過",ROUND((I16-$D$5)/7,1)))</f>
      </c>
      <c r="L16" s="16">
        <f aca="false">IF(OR(J16="",NOT(ISNUMBER(K16))),"",IF(J16=0,"-",ROUNDUP(J16/((I16-$D$5)/7),0)&amp;" "&amp;D16))</f>
      </c>
      <c r="M16" s="16">
        <f aca="false">IF(OR(J16="",NOT(ISNUMBER(K16))),"",IF(J16=0,"-",ROUNDUP(J16/(I16-$D$5),0)&amp;" "&amp;D16))</f>
      </c>
      <c r="N16" s="27">
        <f aca="false">IF(AND(AND(ISNUMBER(E16),ISNUMBER(F16),ISNUMBER(G16),ISNUMBER(H16)),N(E16)*N(H16)&gt;0),MIN(1,((F16-1)*E16+G16)/(E16*H16)),"")</f>
      </c>
      <c r="O16" s="28">
        <f aca="false">IF(B16="","",IF(OR(C16="完了",J16=0),"完了",IF(K16="期限超過","期限超過",IF(J16="","未入力あり",""))))</f>
      </c>
    </row>
    <row r="17" customFormat="false" ht="18.75" hidden="false" customHeight="true" outlineLevel="0" collapsed="false">
      <c r="A17" s="29"/>
      <c r="B17" s="30"/>
      <c r="C17" s="29"/>
      <c r="D17" s="29"/>
      <c r="E17" s="31"/>
      <c r="F17" s="29"/>
      <c r="G17" s="31"/>
      <c r="H17" s="29"/>
      <c r="I17" s="32"/>
      <c r="J17" s="25">
        <f aca="false">IF(AND(ISNUMBER(E17),ISNUMBER(F17),ISNUMBER(G17),ISNUMBER(H17)),MAX(0,(H17-F17)*E17+E17-G17),"")</f>
      </c>
      <c r="K17" s="26">
        <f aca="false">IF(NOT(ISNUMBER(I17)),"",IF(I17&lt;=$D$5,"期限超過",ROUND((I17-$D$5)/7,1)))</f>
      </c>
      <c r="L17" s="16">
        <f aca="false">IF(OR(J17="",NOT(ISNUMBER(K17))),"",IF(J17=0,"-",ROUNDUP(J17/((I17-$D$5)/7),0)&amp;" "&amp;D17))</f>
      </c>
      <c r="M17" s="16">
        <f aca="false">IF(OR(J17="",NOT(ISNUMBER(K17))),"",IF(J17=0,"-",ROUNDUP(J17/(I17-$D$5),0)&amp;" "&amp;D17))</f>
      </c>
      <c r="N17" s="27">
        <f aca="false">IF(AND(AND(ISNUMBER(E17),ISNUMBER(F17),ISNUMBER(G17),ISNUMBER(H17)),N(E17)*N(H17)&gt;0),MIN(1,((F17-1)*E17+G17)/(E17*H17)),"")</f>
      </c>
      <c r="O17" s="28">
        <f aca="false">IF(B17="","",IF(OR(C17="完了",J17=0),"完了",IF(K17="期限超過","期限超過",IF(J17="","未入力あり",""))))</f>
      </c>
    </row>
    <row r="18" customFormat="false" ht="18.75" hidden="false" customHeight="true" outlineLevel="0" collapsed="false">
      <c r="A18" s="29"/>
      <c r="B18" s="30"/>
      <c r="C18" s="29"/>
      <c r="D18" s="29"/>
      <c r="E18" s="31"/>
      <c r="F18" s="29"/>
      <c r="G18" s="31"/>
      <c r="H18" s="29"/>
      <c r="I18" s="32"/>
      <c r="J18" s="25">
        <f aca="false">IF(AND(ISNUMBER(E18),ISNUMBER(F18),ISNUMBER(G18),ISNUMBER(H18)),MAX(0,(H18-F18)*E18+E18-G18),"")</f>
      </c>
      <c r="K18" s="26">
        <f aca="false">IF(NOT(ISNUMBER(I18)),"",IF(I18&lt;=$D$5,"期限超過",ROUND((I18-$D$5)/7,1)))</f>
      </c>
      <c r="L18" s="16">
        <f aca="false">IF(OR(J18="",NOT(ISNUMBER(K18))),"",IF(J18=0,"-",ROUNDUP(J18/((I18-$D$5)/7),0)&amp;" "&amp;D18))</f>
      </c>
      <c r="M18" s="16">
        <f aca="false">IF(OR(J18="",NOT(ISNUMBER(K18))),"",IF(J18=0,"-",ROUNDUP(J18/(I18-$D$5),0)&amp;" "&amp;D18))</f>
      </c>
      <c r="N18" s="27">
        <f aca="false">IF(AND(AND(ISNUMBER(E18),ISNUMBER(F18),ISNUMBER(G18),ISNUMBER(H18)),N(E18)*N(H18)&gt;0),MIN(1,((F18-1)*E18+G18)/(E18*H18)),"")</f>
      </c>
      <c r="O18" s="28">
        <f aca="false">IF(B18="","",IF(OR(C18="完了",J18=0),"完了",IF(K18="期限超過","期限超過",IF(J18="","未入力あり",""))))</f>
      </c>
    </row>
    <row r="19" customFormat="false" ht="18.75" hidden="false" customHeight="true" outlineLevel="0" collapsed="false">
      <c r="A19" s="29"/>
      <c r="B19" s="30"/>
      <c r="C19" s="29"/>
      <c r="D19" s="29"/>
      <c r="E19" s="31"/>
      <c r="F19" s="29"/>
      <c r="G19" s="31"/>
      <c r="H19" s="29"/>
      <c r="I19" s="32"/>
      <c r="J19" s="25">
        <f aca="false">IF(AND(ISNUMBER(E19),ISNUMBER(F19),ISNUMBER(G19),ISNUMBER(H19)),MAX(0,(H19-F19)*E19+E19-G19),"")</f>
      </c>
      <c r="K19" s="26">
        <f aca="false">IF(NOT(ISNUMBER(I19)),"",IF(I19&lt;=$D$5,"期限超過",ROUND((I19-$D$5)/7,1)))</f>
      </c>
      <c r="L19" s="16">
        <f aca="false">IF(OR(J19="",NOT(ISNUMBER(K19))),"",IF(J19=0,"-",ROUNDUP(J19/((I19-$D$5)/7),0)&amp;" "&amp;D19))</f>
      </c>
      <c r="M19" s="16">
        <f aca="false">IF(OR(J19="",NOT(ISNUMBER(K19))),"",IF(J19=0,"-",ROUNDUP(J19/(I19-$D$5),0)&amp;" "&amp;D19))</f>
      </c>
      <c r="N19" s="27">
        <f aca="false">IF(AND(AND(ISNUMBER(E19),ISNUMBER(F19),ISNUMBER(G19),ISNUMBER(H19)),N(E19)*N(H19)&gt;0),MIN(1,((F19-1)*E19+G19)/(E19*H19)),"")</f>
      </c>
      <c r="O19" s="28">
        <f aca="false">IF(B19="","",IF(OR(C19="完了",J19=0),"完了",IF(K19="期限超過","期限超過",IF(J19="","未入力あり",""))))</f>
      </c>
    </row>
    <row r="20" customFormat="false" ht="18.75" hidden="false" customHeight="true" outlineLevel="0" collapsed="false">
      <c r="A20" s="29"/>
      <c r="B20" s="30"/>
      <c r="C20" s="29"/>
      <c r="D20" s="29"/>
      <c r="E20" s="31"/>
      <c r="F20" s="29"/>
      <c r="G20" s="31"/>
      <c r="H20" s="29"/>
      <c r="I20" s="32"/>
      <c r="J20" s="25">
        <f aca="false">IF(AND(ISNUMBER(E20),ISNUMBER(F20),ISNUMBER(G20),ISNUMBER(H20)),MAX(0,(H20-F20)*E20+E20-G20),"")</f>
      </c>
      <c r="K20" s="26">
        <f aca="false">IF(NOT(ISNUMBER(I20)),"",IF(I20&lt;=$D$5,"期限超過",ROUND((I20-$D$5)/7,1)))</f>
      </c>
      <c r="L20" s="16">
        <f aca="false">IF(OR(J20="",NOT(ISNUMBER(K20))),"",IF(J20=0,"-",ROUNDUP(J20/((I20-$D$5)/7),0)&amp;" "&amp;D20))</f>
      </c>
      <c r="M20" s="16">
        <f aca="false">IF(OR(J20="",NOT(ISNUMBER(K20))),"",IF(J20=0,"-",ROUNDUP(J20/(I20-$D$5),0)&amp;" "&amp;D20))</f>
      </c>
      <c r="N20" s="27">
        <f aca="false">IF(AND(AND(ISNUMBER(E20),ISNUMBER(F20),ISNUMBER(G20),ISNUMBER(H20)),N(E20)*N(H20)&gt;0),MIN(1,((F20-1)*E20+G20)/(E20*H20)),"")</f>
      </c>
      <c r="O20" s="28">
        <f aca="false">IF(B20="","",IF(OR(C20="完了",J20=0),"完了",IF(K20="期限超過","期限超過",IF(J20="","未入力あり",""))))</f>
      </c>
    </row>
    <row r="21" customFormat="false" ht="18.75" hidden="false" customHeight="true" outlineLevel="0" collapsed="false">
      <c r="A21" s="29"/>
      <c r="B21" s="30"/>
      <c r="C21" s="29"/>
      <c r="D21" s="29"/>
      <c r="E21" s="31"/>
      <c r="F21" s="29"/>
      <c r="G21" s="31"/>
      <c r="H21" s="29"/>
      <c r="I21" s="32"/>
      <c r="J21" s="25">
        <f aca="false">IF(AND(ISNUMBER(E21),ISNUMBER(F21),ISNUMBER(G21),ISNUMBER(H21)),MAX(0,(H21-F21)*E21+E21-G21),"")</f>
      </c>
      <c r="K21" s="26">
        <f aca="false">IF(NOT(ISNUMBER(I21)),"",IF(I21&lt;=$D$5,"期限超過",ROUND((I21-$D$5)/7,1)))</f>
      </c>
      <c r="L21" s="16">
        <f aca="false">IF(OR(J21="",NOT(ISNUMBER(K21))),"",IF(J21=0,"-",ROUNDUP(J21/((I21-$D$5)/7),0)&amp;" "&amp;D21))</f>
      </c>
      <c r="M21" s="16">
        <f aca="false">IF(OR(J21="",NOT(ISNUMBER(K21))),"",IF(J21=0,"-",ROUNDUP(J21/(I21-$D$5),0)&amp;" "&amp;D21))</f>
      </c>
      <c r="N21" s="27">
        <f aca="false">IF(AND(AND(ISNUMBER(E21),ISNUMBER(F21),ISNUMBER(G21),ISNUMBER(H21)),N(E21)*N(H21)&gt;0),MIN(1,((F21-1)*E21+G21)/(E21*H21)),"")</f>
      </c>
      <c r="O21" s="28">
        <f aca="false">IF(B21="","",IF(OR(C21="完了",J21=0),"完了",IF(K21="期限超過","期限超過",IF(J21="","未入力あり",""))))</f>
      </c>
    </row>
    <row r="22" customFormat="false" ht="18.75" hidden="false" customHeight="true" outlineLevel="0" collapsed="false">
      <c r="A22" s="29"/>
      <c r="B22" s="30"/>
      <c r="C22" s="29"/>
      <c r="D22" s="29"/>
      <c r="E22" s="31"/>
      <c r="F22" s="29"/>
      <c r="G22" s="31"/>
      <c r="H22" s="29"/>
      <c r="I22" s="32"/>
      <c r="J22" s="25">
        <f aca="false">IF(AND(ISNUMBER(E22),ISNUMBER(F22),ISNUMBER(G22),ISNUMBER(H22)),MAX(0,(H22-F22)*E22+E22-G22),"")</f>
      </c>
      <c r="K22" s="26">
        <f aca="false">IF(NOT(ISNUMBER(I22)),"",IF(I22&lt;=$D$5,"期限超過",ROUND((I22-$D$5)/7,1)))</f>
      </c>
      <c r="L22" s="16">
        <f aca="false">IF(OR(J22="",NOT(ISNUMBER(K22))),"",IF(J22=0,"-",ROUNDUP(J22/((I22-$D$5)/7),0)&amp;" "&amp;D22))</f>
      </c>
      <c r="M22" s="16">
        <f aca="false">IF(OR(J22="",NOT(ISNUMBER(K22))),"",IF(J22=0,"-",ROUNDUP(J22/(I22-$D$5),0)&amp;" "&amp;D22))</f>
      </c>
      <c r="N22" s="27">
        <f aca="false">IF(AND(AND(ISNUMBER(E22),ISNUMBER(F22),ISNUMBER(G22),ISNUMBER(H22)),N(E22)*N(H22)&gt;0),MIN(1,((F22-1)*E22+G22)/(E22*H22)),"")</f>
      </c>
      <c r="O22" s="28">
        <f aca="false">IF(B22="","",IF(OR(C22="完了",J22=0),"完了",IF(K22="期限超過","期限超過",IF(J22="","未入力あり",""))))</f>
      </c>
    </row>
    <row r="23" customFormat="false" ht="18.75" hidden="false" customHeight="true" outlineLevel="0" collapsed="false">
      <c r="A23" s="29"/>
      <c r="B23" s="30"/>
      <c r="C23" s="29"/>
      <c r="D23" s="29"/>
      <c r="E23" s="31"/>
      <c r="F23" s="29"/>
      <c r="G23" s="31"/>
      <c r="H23" s="29"/>
      <c r="I23" s="32"/>
      <c r="J23" s="25">
        <f aca="false">IF(AND(ISNUMBER(E23),ISNUMBER(F23),ISNUMBER(G23),ISNUMBER(H23)),MAX(0,(H23-F23)*E23+E23-G23),"")</f>
      </c>
      <c r="K23" s="26">
        <f aca="false">IF(NOT(ISNUMBER(I23)),"",IF(I23&lt;=$D$5,"期限超過",ROUND((I23-$D$5)/7,1)))</f>
      </c>
      <c r="L23" s="16">
        <f aca="false">IF(OR(J23="",NOT(ISNUMBER(K23))),"",IF(J23=0,"-",ROUNDUP(J23/((I23-$D$5)/7),0)&amp;" "&amp;D23))</f>
      </c>
      <c r="M23" s="16">
        <f aca="false">IF(OR(J23="",NOT(ISNUMBER(K23))),"",IF(J23=0,"-",ROUNDUP(J23/(I23-$D$5),0)&amp;" "&amp;D23))</f>
      </c>
      <c r="N23" s="27">
        <f aca="false">IF(AND(AND(ISNUMBER(E23),ISNUMBER(F23),ISNUMBER(G23),ISNUMBER(H23)),N(E23)*N(H23)&gt;0),MIN(1,((F23-1)*E23+G23)/(E23*H23)),"")</f>
      </c>
      <c r="O23" s="28">
        <f aca="false">IF(B23="","",IF(OR(C23="完了",J23=0),"完了",IF(K23="期限超過","期限超過",IF(J23="","未入力あり",""))))</f>
      </c>
    </row>
    <row r="24" customFormat="false" ht="18.75" hidden="false" customHeight="true" outlineLevel="0" collapsed="false">
      <c r="A24" s="29"/>
      <c r="B24" s="30"/>
      <c r="C24" s="29"/>
      <c r="D24" s="29"/>
      <c r="E24" s="31"/>
      <c r="F24" s="29"/>
      <c r="G24" s="31"/>
      <c r="H24" s="29"/>
      <c r="I24" s="32"/>
      <c r="J24" s="25">
        <f aca="false">IF(AND(ISNUMBER(E24),ISNUMBER(F24),ISNUMBER(G24),ISNUMBER(H24)),MAX(0,(H24-F24)*E24+E24-G24),"")</f>
      </c>
      <c r="K24" s="26">
        <f aca="false">IF(NOT(ISNUMBER(I24)),"",IF(I24&lt;=$D$5,"期限超過",ROUND((I24-$D$5)/7,1)))</f>
      </c>
      <c r="L24" s="16">
        <f aca="false">IF(OR(J24="",NOT(ISNUMBER(K24))),"",IF(J24=0,"-",ROUNDUP(J24/((I24-$D$5)/7),0)&amp;" "&amp;D24))</f>
      </c>
      <c r="M24" s="16">
        <f aca="false">IF(OR(J24="",NOT(ISNUMBER(K24))),"",IF(J24=0,"-",ROUNDUP(J24/(I24-$D$5),0)&amp;" "&amp;D24))</f>
      </c>
      <c r="N24" s="27">
        <f aca="false">IF(AND(AND(ISNUMBER(E24),ISNUMBER(F24),ISNUMBER(G24),ISNUMBER(H24)),N(E24)*N(H24)&gt;0),MIN(1,((F24-1)*E24+G24)/(E24*H24)),"")</f>
      </c>
      <c r="O24" s="28">
        <f aca="false">IF(B24="","",IF(OR(C24="完了",J24=0),"完了",IF(K24="期限超過","期限超過",IF(J24="","未入力あり",""))))</f>
      </c>
    </row>
    <row r="25" customFormat="false" ht="18.75" hidden="false" customHeight="true" outlineLevel="0" collapsed="false">
      <c r="A25" s="29"/>
      <c r="B25" s="30"/>
      <c r="C25" s="29"/>
      <c r="D25" s="29"/>
      <c r="E25" s="31"/>
      <c r="F25" s="29"/>
      <c r="G25" s="31"/>
      <c r="H25" s="29"/>
      <c r="I25" s="32"/>
      <c r="J25" s="25">
        <f aca="false">IF(AND(ISNUMBER(E25),ISNUMBER(F25),ISNUMBER(G25),ISNUMBER(H25)),MAX(0,(H25-F25)*E25+E25-G25),"")</f>
      </c>
      <c r="K25" s="26">
        <f aca="false">IF(NOT(ISNUMBER(I25)),"",IF(I25&lt;=$D$5,"期限超過",ROUND((I25-$D$5)/7,1)))</f>
      </c>
      <c r="L25" s="16">
        <f aca="false">IF(OR(J25="",NOT(ISNUMBER(K25))),"",IF(J25=0,"-",ROUNDUP(J25/((I25-$D$5)/7),0)&amp;" "&amp;D25))</f>
      </c>
      <c r="M25" s="16">
        <f aca="false">IF(OR(J25="",NOT(ISNUMBER(K25))),"",IF(J25=0,"-",ROUNDUP(J25/(I25-$D$5),0)&amp;" "&amp;D25))</f>
      </c>
      <c r="N25" s="27">
        <f aca="false">IF(AND(AND(ISNUMBER(E25),ISNUMBER(F25),ISNUMBER(G25),ISNUMBER(H25)),N(E25)*N(H25)&gt;0),MIN(1,((F25-1)*E25+G25)/(E25*H25)),"")</f>
      </c>
      <c r="O25" s="28">
        <f aca="false">IF(B25="","",IF(OR(C25="完了",J25=0),"完了",IF(K25="期限超過","期限超過",IF(J25="","未入力あり",""))))</f>
      </c>
    </row>
    <row r="26" customFormat="false" ht="18.75" hidden="false" customHeight="true" outlineLevel="0" collapsed="false">
      <c r="A26" s="29"/>
      <c r="B26" s="30"/>
      <c r="C26" s="29"/>
      <c r="D26" s="29"/>
      <c r="E26" s="31"/>
      <c r="F26" s="29"/>
      <c r="G26" s="31"/>
      <c r="H26" s="29"/>
      <c r="I26" s="32"/>
      <c r="J26" s="25">
        <f aca="false">IF(AND(ISNUMBER(E26),ISNUMBER(F26),ISNUMBER(G26),ISNUMBER(H26)),MAX(0,(H26-F26)*E26+E26-G26),"")</f>
      </c>
      <c r="K26" s="26">
        <f aca="false">IF(NOT(ISNUMBER(I26)),"",IF(I26&lt;=$D$5,"期限超過",ROUND((I26-$D$5)/7,1)))</f>
      </c>
      <c r="L26" s="16">
        <f aca="false">IF(OR(J26="",NOT(ISNUMBER(K26))),"",IF(J26=0,"-",ROUNDUP(J26/((I26-$D$5)/7),0)&amp;" "&amp;D26))</f>
      </c>
      <c r="M26" s="16">
        <f aca="false">IF(OR(J26="",NOT(ISNUMBER(K26))),"",IF(J26=0,"-",ROUNDUP(J26/(I26-$D$5),0)&amp;" "&amp;D26))</f>
      </c>
      <c r="N26" s="27">
        <f aca="false">IF(AND(AND(ISNUMBER(E26),ISNUMBER(F26),ISNUMBER(G26),ISNUMBER(H26)),N(E26)*N(H26)&gt;0),MIN(1,((F26-1)*E26+G26)/(E26*H26)),"")</f>
      </c>
      <c r="O26" s="28">
        <f aca="false">IF(B26="","",IF(OR(C26="完了",J26=0),"完了",IF(K26="期限超過","期限超過",IF(J26="","未入力あり",""))))</f>
      </c>
    </row>
    <row r="27" customFormat="false" ht="18.75" hidden="false" customHeight="true" outlineLevel="0" collapsed="false">
      <c r="A27" s="29"/>
      <c r="B27" s="30"/>
      <c r="C27" s="29"/>
      <c r="D27" s="29"/>
      <c r="E27" s="31"/>
      <c r="F27" s="29"/>
      <c r="G27" s="31"/>
      <c r="H27" s="29"/>
      <c r="I27" s="32"/>
      <c r="J27" s="25">
        <f aca="false">IF(AND(ISNUMBER(E27),ISNUMBER(F27),ISNUMBER(G27),ISNUMBER(H27)),MAX(0,(H27-F27)*E27+E27-G27),"")</f>
      </c>
      <c r="K27" s="26">
        <f aca="false">IF(NOT(ISNUMBER(I27)),"",IF(I27&lt;=$D$5,"期限超過",ROUND((I27-$D$5)/7,1)))</f>
      </c>
      <c r="L27" s="16">
        <f aca="false">IF(OR(J27="",NOT(ISNUMBER(K27))),"",IF(J27=0,"-",ROUNDUP(J27/((I27-$D$5)/7),0)&amp;" "&amp;D27))</f>
      </c>
      <c r="M27" s="16">
        <f aca="false">IF(OR(J27="",NOT(ISNUMBER(K27))),"",IF(J27=0,"-",ROUNDUP(J27/(I27-$D$5),0)&amp;" "&amp;D27))</f>
      </c>
      <c r="N27" s="27">
        <f aca="false">IF(AND(AND(ISNUMBER(E27),ISNUMBER(F27),ISNUMBER(G27),ISNUMBER(H27)),N(E27)*N(H27)&gt;0),MIN(1,((F27-1)*E27+G27)/(E27*H27)),"")</f>
      </c>
      <c r="O27" s="28">
        <f aca="false">IF(B27="","",IF(OR(C27="完了",J27=0),"完了",IF(K27="期限超過","期限超過",IF(J27="","未入力あり",""))))</f>
      </c>
    </row>
    <row r="28" customFormat="false" ht="18.75" hidden="false" customHeight="true" outlineLevel="0" collapsed="false">
      <c r="A28" s="29"/>
      <c r="B28" s="30"/>
      <c r="C28" s="29"/>
      <c r="D28" s="29"/>
      <c r="E28" s="31"/>
      <c r="F28" s="29"/>
      <c r="G28" s="31"/>
      <c r="H28" s="29"/>
      <c r="I28" s="32"/>
      <c r="J28" s="25">
        <f aca="false">IF(AND(ISNUMBER(E28),ISNUMBER(F28),ISNUMBER(G28),ISNUMBER(H28)),MAX(0,(H28-F28)*E28+E28-G28),"")</f>
      </c>
      <c r="K28" s="26">
        <f aca="false">IF(NOT(ISNUMBER(I28)),"",IF(I28&lt;=$D$5,"期限超過",ROUND((I28-$D$5)/7,1)))</f>
      </c>
      <c r="L28" s="16">
        <f aca="false">IF(OR(J28="",NOT(ISNUMBER(K28))),"",IF(J28=0,"-",ROUNDUP(J28/((I28-$D$5)/7),0)&amp;" "&amp;D28))</f>
      </c>
      <c r="M28" s="16">
        <f aca="false">IF(OR(J28="",NOT(ISNUMBER(K28))),"",IF(J28=0,"-",ROUNDUP(J28/(I28-$D$5),0)&amp;" "&amp;D28))</f>
      </c>
      <c r="N28" s="27">
        <f aca="false">IF(AND(AND(ISNUMBER(E28),ISNUMBER(F28),ISNUMBER(G28),ISNUMBER(H28)),N(E28)*N(H28)&gt;0),MIN(1,((F28-1)*E28+G28)/(E28*H28)),"")</f>
      </c>
      <c r="O28" s="28">
        <f aca="false">IF(B28="","",IF(OR(C28="完了",J28=0),"完了",IF(K28="期限超過","期限超過",IF(J28="","未入力あり",""))))</f>
      </c>
    </row>
    <row r="29" customFormat="false" ht="18.75" hidden="false" customHeight="true" outlineLevel="0" collapsed="false">
      <c r="A29" s="29"/>
      <c r="B29" s="30"/>
      <c r="C29" s="29"/>
      <c r="D29" s="29"/>
      <c r="E29" s="31"/>
      <c r="F29" s="29"/>
      <c r="G29" s="31"/>
      <c r="H29" s="29"/>
      <c r="I29" s="32"/>
      <c r="J29" s="25">
        <f aca="false">IF(AND(ISNUMBER(E29),ISNUMBER(F29),ISNUMBER(G29),ISNUMBER(H29)),MAX(0,(H29-F29)*E29+E29-G29),"")</f>
      </c>
      <c r="K29" s="26">
        <f aca="false">IF(NOT(ISNUMBER(I29)),"",IF(I29&lt;=$D$5,"期限超過",ROUND((I29-$D$5)/7,1)))</f>
      </c>
      <c r="L29" s="16">
        <f aca="false">IF(OR(J29="",NOT(ISNUMBER(K29))),"",IF(J29=0,"-",ROUNDUP(J29/((I29-$D$5)/7),0)&amp;" "&amp;D29))</f>
      </c>
      <c r="M29" s="16">
        <f aca="false">IF(OR(J29="",NOT(ISNUMBER(K29))),"",IF(J29=0,"-",ROUNDUP(J29/(I29-$D$5),0)&amp;" "&amp;D29))</f>
      </c>
      <c r="N29" s="27">
        <f aca="false">IF(AND(AND(ISNUMBER(E29),ISNUMBER(F29),ISNUMBER(G29),ISNUMBER(H29)),N(E29)*N(H29)&gt;0),MIN(1,((F29-1)*E29+G29)/(E29*H29)),"")</f>
      </c>
      <c r="O29" s="28">
        <f aca="false">IF(B29="","",IF(OR(C29="完了",J29=0),"完了",IF(K29="期限超過","期限超過",IF(J29="","未入力あり",""))))</f>
      </c>
    </row>
    <row r="30" customFormat="false" ht="13.8" hidden="false" customHeight="false" outlineLevel="0" collapsed="false"/>
    <row r="31" customFormat="false" ht="30" hidden="false" customHeight="true" outlineLevel="0" collapsed="false">
      <c r="A31" s="3" t="s">
        <v>112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</sheetData>
  <sheetProtection sheet="true" objects="true" scenarios="true"/>
  <mergeCells count="7">
    <mergeCell ref="A1:O1"/>
    <mergeCell ref="A2:O2"/>
    <mergeCell ref="A4:O4"/>
    <mergeCell ref="D5:E5"/>
    <mergeCell ref="F5:O5"/>
    <mergeCell ref="B6:O6"/>
    <mergeCell ref="A31:O31"/>
  </mergeCells>
  <conditionalFormatting sqref="A10:I29">
    <cfRule type="expression" priority="2" aboveAverage="0" equalAverage="0" bottom="0" percent="0" rank="0" text="" dxfId="0">
      <formula>$C10="完了"</formula>
    </cfRule>
  </conditionalFormatting>
  <conditionalFormatting sqref="K9:K29">
    <cfRule type="expression" priority="3" aboveAverage="0" equalAverage="0" bottom="0" percent="0" rank="0" text="" dxfId="1">
      <formula>K9="期限超過"</formula>
    </cfRule>
  </conditionalFormatting>
  <conditionalFormatting sqref="O9:O29">
    <cfRule type="expression" priority="4" aboveAverage="0" equalAverage="0" bottom="0" percent="0" rank="0" text="" dxfId="1">
      <formula>O9="期限超過"</formula>
    </cfRule>
    <cfRule type="expression" priority="5" aboveAverage="0" equalAverage="0" bottom="0" percent="0" rank="0" text="" dxfId="0">
      <formula>O9="完了"</formula>
    </cfRule>
  </conditionalFormatting>
  <dataValidations count="3">
    <dataValidation allowBlank="true" error="一覧から選んでください" errorStyle="stop" errorTitle="入力エラー" operator="equal" showDropDown="false" showErrorMessage="true" showInputMessage="false" sqref="A10:A29" type="list">
      <formula1>"英語,国語,数学,地歴公民,理科,情報,小論文,その他"</formula1>
      <formula2>0</formula2>
    </dataValidation>
    <dataValidation allowBlank="true" error="一覧から選んでください" errorStyle="stop" errorTitle="入力エラー" operator="equal" showDropDown="false" showErrorMessage="true" showInputMessage="false" sqref="C10:C29" type="list">
      <formula1>"取組中,これから,完了"</formula1>
      <formula2>0</formula2>
    </dataValidation>
    <dataValidation allowBlank="true" error="一覧から選んでください" errorStyle="stop" errorTitle="入力エラー" operator="equal" showDropDown="false" showErrorMessage="true" showInputMessage="false" sqref="D10:D29" type="list">
      <formula1>"ページ,問,語,章,回"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" footer="0.5"/>
  <pageSetup paperSize="77" scale="100" fitToWidth="1" fitToHeight="1" pageOrder="downThenOver" orientation="landscape" blackAndWhite="false" draft="false" cellComments="none" horizontalDpi="300" verticalDpi="300" copies="1"/>
  <headerFooter differentFirst="true" differentOddEven="false">
    <oddHeader/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2026-10-15T01:36:09Z</dcterms:created>
  <dc:creator>openpyxl</dc:creator>
  <dc:description/>
  <dc:language>en-US</dc:language>
  <cp:lastModifiedBy/>
  <dcterms:modified xsi:type="dcterms:W3CDTF">2026-10-26T02:35:31Z</dcterms:modified>
  <cp:revision>0</cp:revision>
  <dc:subject/>
  <dc:title/>
</cp:coreProperties>
</file>