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はじめに" sheetId="1" state="visible" r:id="rId3"/>
    <sheet name="301" sheetId="2" state="visible" r:id="rId4"/>
  </sheets>
  <definedNames>
    <definedName function="false" hidden="false" localSheetId="0" name="Print_Area" vbProcedure="false">はじめに!$A$1:$D$47</definedName>
    <definedName function="false" hidden="false" localSheetId="1" name="Print_Area" vbProcedure="false">'301'!$A$1:$X$66</definedName>
    <definedName function="false" hidden="false" localSheetId="1" name="Print_Titles" vbProcedure="false">'301'!$7:$8</definedName>
  </definedNames>
  <calcPr fullCalcOnLoad="1"/>
  <extLst>
    <ext xmlns:loext="http://schemas.libreoffice.org/" uri="{7626C862-2A13-11E5-B345-FEFF819CDC9F}">
      <loext:extCalcPr stringRefSyntax="CalcA1ExcelA1"/>
    </ext>
  </extLst>
</workbook>
</file>

<file path=xl/sharedStrings.xml><?xml version="1.0" encoding="utf-8"?>
<sst xmlns="http://schemas.openxmlformats.org/spreadsheetml/2006/main" count="1824" uniqueCount="212">
  <si>
    <t xml:space="preserve">過去問演習シート　はじめに（最初に必ず読むこと）</t>
  </si>
  <si>
    <r>
      <rPr>
        <sz val="9"/>
        <color rgb="FF55617D"/>
        <rFont val="Noto Sans CJK SC"/>
        <family val="0"/>
      </rPr>
      <t xml:space="preserve">このファイルには、番号</t>
    </r>
    <r>
      <rPr>
        <sz val="9"/>
        <color rgb="FF55617D"/>
        <rFont val=""/>
        <family val="2"/>
        <charset val="2"/>
      </rPr>
      <t xml:space="preserve">01</t>
    </r>
    <r>
      <rPr>
        <sz val="9"/>
        <color rgb="FF55617D"/>
        <rFont val="Noto Sans CJK SC"/>
        <family val="0"/>
      </rPr>
      <t xml:space="preserve">〜</t>
    </r>
    <r>
      <rPr>
        <sz val="9"/>
        <color rgb="FF55617D"/>
        <rFont val=""/>
        <family val="2"/>
        <charset val="2"/>
      </rPr>
      <t xml:space="preserve">32</t>
    </r>
    <r>
      <rPr>
        <sz val="9"/>
        <color rgb="FF55617D"/>
        <rFont val="Noto Sans CJK SC"/>
        <family val="0"/>
      </rPr>
      <t xml:space="preserve">のシートがあります。自分の番号のシートだけに入力してください。他の人のシートは開かない・書き換えない。下の「シート一覧」の番号をクリックすると、そのシートに移動します。</t>
    </r>
  </si>
  <si>
    <r>
      <rPr>
        <b val="true"/>
        <sz val="10"/>
        <color rgb="FFFFFFFF"/>
        <rFont val="游ゴシック"/>
        <family val="0"/>
      </rPr>
      <t xml:space="preserve">1</t>
    </r>
    <r>
      <rPr>
        <b val="true"/>
        <sz val="10"/>
        <color rgb="FFFFFFFF"/>
        <rFont val="Noto Sans CJK SC"/>
        <family val="0"/>
      </rPr>
      <t xml:space="preserve">．最初に</t>
    </r>
    <r>
      <rPr>
        <b val="true"/>
        <sz val="10"/>
        <color rgb="FFFFFFFF"/>
        <rFont val="游ゴシック"/>
        <family val="0"/>
      </rPr>
      <t xml:space="preserve">1</t>
    </r>
    <r>
      <rPr>
        <b val="true"/>
        <sz val="10"/>
        <color rgb="FFFFFFFF"/>
        <rFont val="Noto Sans CJK SC"/>
        <family val="0"/>
      </rPr>
      <t xml:space="preserve">回だけ入力する項目（大学ごとに、上から順に）</t>
    </r>
  </si>
  <si>
    <t xml:space="preserve">順番</t>
  </si>
  <si>
    <t xml:space="preserve">項目</t>
  </si>
  <si>
    <t xml:space="preserve">入力例</t>
  </si>
  <si>
    <t xml:space="preserve">入力のしかた・注意</t>
  </si>
  <si>
    <t xml:space="preserve">大学・学部・学科</t>
  </si>
  <si>
    <t xml:space="preserve">○○大学 法学部 法律学科</t>
  </si>
  <si>
    <r>
      <rPr>
        <sz val="10"/>
        <color rgb="FF000000"/>
        <rFont val="游ゴシック"/>
        <family val="0"/>
      </rPr>
      <t xml:space="preserve">1</t>
    </r>
    <r>
      <rPr>
        <sz val="10"/>
        <color rgb="FF000000"/>
        <rFont val="Noto Sans CJK SC"/>
        <family val="0"/>
      </rPr>
      <t xml:space="preserve">つの枠（太線で区切られた</t>
    </r>
    <r>
      <rPr>
        <sz val="10"/>
        <color rgb="FF000000"/>
        <rFont val="游ゴシック"/>
        <family val="0"/>
      </rPr>
      <t xml:space="preserve">5</t>
    </r>
    <r>
      <rPr>
        <sz val="10"/>
        <color rgb="FF000000"/>
        <rFont val="Noto Sans CJK SC"/>
        <family val="0"/>
      </rPr>
      <t xml:space="preserve">行）に、</t>
    </r>
    <r>
      <rPr>
        <sz val="10"/>
        <color rgb="FF000000"/>
        <rFont val="游ゴシック"/>
        <family val="0"/>
      </rPr>
      <t xml:space="preserve">1</t>
    </r>
    <r>
      <rPr>
        <sz val="10"/>
        <color rgb="FF000000"/>
        <rFont val="Noto Sans CJK SC"/>
        <family val="0"/>
      </rPr>
      <t xml:space="preserve">つの大学・学部を書く。学科で問題が違う場合は学科まで書く。</t>
    </r>
  </si>
  <si>
    <t xml:space="preserve">試験日</t>
  </si>
  <si>
    <t xml:space="preserve">2/10</t>
  </si>
  <si>
    <r>
      <rPr>
        <sz val="10"/>
        <color rgb="FF000000"/>
        <rFont val="Noto Sans CJK SC"/>
        <family val="0"/>
      </rPr>
      <t xml:space="preserve">「月</t>
    </r>
    <r>
      <rPr>
        <sz val="10"/>
        <color rgb="FF000000"/>
        <rFont val=""/>
        <family val="2"/>
        <charset val="2"/>
      </rPr>
      <t xml:space="preserve">/</t>
    </r>
    <r>
      <rPr>
        <sz val="10"/>
        <color rgb="FF000000"/>
        <rFont val="Noto Sans CJK SC"/>
        <family val="0"/>
      </rPr>
      <t xml:space="preserve">日」の形で入力（例：</t>
    </r>
    <r>
      <rPr>
        <sz val="10"/>
        <color rgb="FF000000"/>
        <rFont val=""/>
        <family val="2"/>
        <charset val="2"/>
      </rPr>
      <t xml:space="preserve">2/10</t>
    </r>
    <r>
      <rPr>
        <sz val="10"/>
        <color rgb="FF000000"/>
        <rFont val="Noto Sans CJK SC"/>
        <family val="0"/>
      </rPr>
      <t xml:space="preserve">）。分からなければ空欄にして先生に確認する。</t>
    </r>
  </si>
  <si>
    <t xml:space="preserve">科目</t>
  </si>
  <si>
    <t xml:space="preserve">英語</t>
  </si>
  <si>
    <r>
      <rPr>
        <sz val="10"/>
        <color rgb="FF000000"/>
        <rFont val="游ゴシック"/>
        <family val="0"/>
      </rPr>
      <t xml:space="preserve">1</t>
    </r>
    <r>
      <rPr>
        <sz val="10"/>
        <color rgb="FF000000"/>
        <rFont val="Noto Sans CJK SC"/>
        <family val="0"/>
      </rPr>
      <t xml:space="preserve">つの枠に</t>
    </r>
    <r>
      <rPr>
        <sz val="10"/>
        <color rgb="FF000000"/>
        <rFont val="游ゴシック"/>
        <family val="0"/>
      </rPr>
      <t xml:space="preserve">4</t>
    </r>
    <r>
      <rPr>
        <sz val="10"/>
        <color rgb="FF000000"/>
        <rFont val="Noto Sans CJK SC"/>
        <family val="0"/>
      </rPr>
      <t xml:space="preserve">科目まで。</t>
    </r>
    <r>
      <rPr>
        <sz val="10"/>
        <color rgb="FF000000"/>
        <rFont val="游ゴシック"/>
        <family val="0"/>
      </rPr>
      <t xml:space="preserve">5</t>
    </r>
    <r>
      <rPr>
        <sz val="10"/>
        <color rgb="FF000000"/>
        <rFont val="Noto Sans CJK SC"/>
        <family val="0"/>
      </rPr>
      <t xml:space="preserve">科目以上ある場合は、次の枠に同じ大学名＋「（続き）」と書いて続ける。</t>
    </r>
  </si>
  <si>
    <t xml:space="preserve">満点</t>
  </si>
  <si>
    <t xml:space="preserve">150</t>
  </si>
  <si>
    <t xml:space="preserve">赤本や大学のホームページで、その科目の配点を調べて数字だけ入力。</t>
  </si>
  <si>
    <t xml:space="preserve">目標得点率</t>
  </si>
  <si>
    <t xml:space="preserve">75%</t>
  </si>
  <si>
    <r>
      <rPr>
        <sz val="10"/>
        <color rgb="FF000000"/>
        <rFont val="Noto Sans CJK SC"/>
        <family val="0"/>
      </rPr>
      <t xml:space="preserve">「</t>
    </r>
    <r>
      <rPr>
        <sz val="10"/>
        <color rgb="FF000000"/>
        <rFont val=""/>
        <family val="2"/>
        <charset val="2"/>
      </rPr>
      <t xml:space="preserve">75%</t>
    </r>
    <r>
      <rPr>
        <sz val="10"/>
        <color rgb="FF000000"/>
        <rFont val="Noto Sans CJK SC"/>
        <family val="0"/>
      </rPr>
      <t xml:space="preserve">」のように％を付けて入力。分からなければ面談で先生と決める。</t>
    </r>
  </si>
  <si>
    <t xml:space="preserve">予定年分</t>
  </si>
  <si>
    <t xml:space="preserve">6</t>
  </si>
  <si>
    <r>
      <rPr>
        <sz val="10"/>
        <color rgb="FF000000"/>
        <rFont val="Noto Sans CJK SC"/>
        <family val="0"/>
      </rPr>
      <t xml:space="preserve">何年分解くか（最大</t>
    </r>
    <r>
      <rPr>
        <sz val="10"/>
        <color rgb="FF000000"/>
        <rFont val=""/>
        <family val="2"/>
        <charset val="2"/>
      </rPr>
      <t xml:space="preserve">10</t>
    </r>
    <r>
      <rPr>
        <sz val="10"/>
        <color rgb="FF000000"/>
        <rFont val="Noto Sans CJK SC"/>
        <family val="0"/>
      </rPr>
      <t xml:space="preserve">）。これより古い年度のマスは、ごく淡い色になる。</t>
    </r>
  </si>
  <si>
    <t xml:space="preserve">完了期限</t>
  </si>
  <si>
    <t xml:space="preserve">12/15</t>
  </si>
  <si>
    <r>
      <rPr>
        <sz val="10"/>
        <color rgb="FF000000"/>
        <rFont val="Noto Sans CJK SC"/>
        <family val="0"/>
      </rPr>
      <t xml:space="preserve">予定年分を全部解き終える日。「</t>
    </r>
    <r>
      <rPr>
        <sz val="10"/>
        <color rgb="FF000000"/>
        <rFont val=""/>
        <family val="2"/>
        <charset val="2"/>
      </rPr>
      <t xml:space="preserve">12</t>
    </r>
    <r>
      <rPr>
        <sz val="10"/>
        <color rgb="FF000000"/>
        <rFont val="Noto Sans CJK SC"/>
        <family val="0"/>
      </rPr>
      <t xml:space="preserve">月中」ではなく「</t>
    </r>
    <r>
      <rPr>
        <sz val="10"/>
        <color rgb="FF000000"/>
        <rFont val=""/>
        <family val="2"/>
        <charset val="2"/>
      </rPr>
      <t xml:space="preserve">12/15</t>
    </r>
    <r>
      <rPr>
        <sz val="10"/>
        <color rgb="FF000000"/>
        <rFont val="Noto Sans CJK SC"/>
        <family val="0"/>
      </rPr>
      <t xml:space="preserve">」のように日付で。</t>
    </r>
  </si>
  <si>
    <t xml:space="preserve">合計行の目標</t>
  </si>
  <si>
    <t xml:space="preserve">70%</t>
  </si>
  <si>
    <r>
      <rPr>
        <sz val="10"/>
        <color rgb="FF000000"/>
        <rFont val="Noto Sans CJK SC"/>
        <family val="0"/>
      </rPr>
      <t xml:space="preserve">各枠の一番下「合計」行の目標欄。合格最低点</t>
    </r>
    <r>
      <rPr>
        <sz val="10"/>
        <color rgb="FF000000"/>
        <rFont val=""/>
        <family val="2"/>
        <charset val="2"/>
      </rPr>
      <t xml:space="preserve">÷</t>
    </r>
    <r>
      <rPr>
        <sz val="10"/>
        <color rgb="FF000000"/>
        <rFont val="Noto Sans CJK SC"/>
        <family val="0"/>
      </rPr>
      <t xml:space="preserve">合計満点（赤本に載っている）を％で。分からなければ空欄でよい。</t>
    </r>
  </si>
  <si>
    <r>
      <rPr>
        <b val="true"/>
        <sz val="10"/>
        <color rgb="FFFFFFFF"/>
        <rFont val="游ゴシック"/>
        <family val="0"/>
      </rPr>
      <t xml:space="preserve">2</t>
    </r>
    <r>
      <rPr>
        <b val="true"/>
        <sz val="10"/>
        <color rgb="FFFFFFFF"/>
        <rFont val="Noto Sans CJK SC"/>
        <family val="0"/>
      </rPr>
      <t xml:space="preserve">．過去問を解いたらやること</t>
    </r>
  </si>
  <si>
    <t xml:space="preserve">・</t>
  </si>
  <si>
    <r>
      <rPr>
        <sz val="10"/>
        <color rgb="FF000000"/>
        <rFont val="Noto Sans CJK SC"/>
        <family val="0"/>
      </rPr>
      <t xml:space="preserve">解いた年度のマスに「得点」を数字だけで入力する（例：</t>
    </r>
    <r>
      <rPr>
        <sz val="10"/>
        <color rgb="FF000000"/>
        <rFont val=""/>
        <family val="2"/>
        <charset val="2"/>
      </rPr>
      <t xml:space="preserve">118</t>
    </r>
    <r>
      <rPr>
        <sz val="10"/>
        <color rgb="FF000000"/>
        <rFont val="Noto Sans CJK SC"/>
        <family val="0"/>
      </rPr>
      <t xml:space="preserve">）。「点」の文字は付けない。</t>
    </r>
  </si>
  <si>
    <r>
      <rPr>
        <sz val="10"/>
        <color rgb="FF000000"/>
        <rFont val="Noto Sans CJK SC"/>
        <family val="0"/>
      </rPr>
      <t xml:space="preserve">年度は、赤本の「</t>
    </r>
    <r>
      <rPr>
        <sz val="10"/>
        <color rgb="FF000000"/>
        <rFont val=""/>
        <family val="2"/>
        <charset val="2"/>
      </rPr>
      <t xml:space="preserve">2026</t>
    </r>
    <r>
      <rPr>
        <sz val="10"/>
        <color rgb="FF000000"/>
        <rFont val="Noto Sans CJK SC"/>
        <family val="0"/>
      </rPr>
      <t xml:space="preserve">年度」などの表記に合わせる（その年度の入試問題）。</t>
    </r>
  </si>
  <si>
    <t xml:space="preserve">採点は解答・配点どおりに。記述の部分点が分からないときは厳しめに自己採点し、面談で先生に確認する。</t>
  </si>
  <si>
    <r>
      <rPr>
        <sz val="10"/>
        <color rgb="FF000000"/>
        <rFont val="Noto Sans CJK SC"/>
        <family val="0"/>
      </rPr>
      <t xml:space="preserve">同じ年度を</t>
    </r>
    <r>
      <rPr>
        <sz val="10"/>
        <color rgb="FF000000"/>
        <rFont val=""/>
        <family val="2"/>
        <charset val="2"/>
      </rPr>
      <t xml:space="preserve">2</t>
    </r>
    <r>
      <rPr>
        <sz val="10"/>
        <color rgb="FF000000"/>
        <rFont val="Noto Sans CJK SC"/>
        <family val="0"/>
      </rPr>
      <t xml:space="preserve">回目に解いたときは、得点を書き換えない（</t>
    </r>
    <r>
      <rPr>
        <sz val="10"/>
        <color rgb="FF000000"/>
        <rFont val=""/>
        <family val="2"/>
        <charset val="2"/>
      </rPr>
      <t xml:space="preserve">1</t>
    </r>
    <r>
      <rPr>
        <sz val="10"/>
        <color rgb="FF000000"/>
        <rFont val="Noto Sans CJK SC"/>
        <family val="0"/>
      </rPr>
      <t xml:space="preserve">回目の実力を残す）。</t>
    </r>
  </si>
  <si>
    <t xml:space="preserve">全科目に得点が入った年度だけ、「合計」行に合計の得点率が出る。</t>
  </si>
  <si>
    <r>
      <rPr>
        <b val="true"/>
        <sz val="10"/>
        <color rgb="FFFFFFFF"/>
        <rFont val="游ゴシック"/>
        <family val="0"/>
      </rPr>
      <t xml:space="preserve">3</t>
    </r>
    <r>
      <rPr>
        <b val="true"/>
        <sz val="10"/>
        <color rgb="FFFFFFFF"/>
        <rFont val="Noto Sans CJK SC"/>
        <family val="0"/>
      </rPr>
      <t xml:space="preserve">．入力上の注意（やってはいけないこと）</t>
    </r>
  </si>
  <si>
    <t xml:space="preserve">数字は半角で入力する。全角（１１８）だと計算されない。</t>
  </si>
  <si>
    <t xml:space="preserve">灰色のセル（自動計算）と見出しは入力できないようにロックされている。ロックの解除はしない。</t>
  </si>
  <si>
    <t xml:space="preserve">行や列の挿入・削除、シート名の変更、シートの削除・移動はしない。</t>
  </si>
  <si>
    <t xml:space="preserve">他のセルからコピーして貼り付けるときは「値のみ貼り付け」を使う（普通に貼ると色や罫線が崩れる）。</t>
  </si>
  <si>
    <t xml:space="preserve">一番上の灰色の斜体の枠は記入例。消さなくてよい（集計には入らない）。</t>
  </si>
  <si>
    <r>
      <rPr>
        <sz val="10"/>
        <color rgb="FF000000"/>
        <rFont val="Noto Sans CJK SC"/>
        <family val="0"/>
      </rPr>
      <t xml:space="preserve">共通テストの過去問・予想問題は、大学名の欄に「共通テスト」と書いて</t>
    </r>
    <r>
      <rPr>
        <sz val="10"/>
        <color rgb="FF000000"/>
        <rFont val=""/>
        <family val="2"/>
        <charset val="2"/>
      </rPr>
      <t xml:space="preserve">1</t>
    </r>
    <r>
      <rPr>
        <sz val="10"/>
        <color rgb="FF000000"/>
        <rFont val="Noto Sans CJK SC"/>
        <family val="0"/>
      </rPr>
      <t xml:space="preserve">つの枠を使う（満点は科目ごと。例：英語</t>
    </r>
    <r>
      <rPr>
        <sz val="10"/>
        <color rgb="FF000000"/>
        <rFont val=""/>
        <family val="2"/>
        <charset val="2"/>
      </rPr>
      <t xml:space="preserve">R 100</t>
    </r>
    <r>
      <rPr>
        <sz val="10"/>
        <color rgb="FF000000"/>
        <rFont val="Noto Sans CJK SC"/>
        <family val="0"/>
      </rPr>
      <t xml:space="preserve">）。</t>
    </r>
  </si>
  <si>
    <t xml:space="preserve">入力したら必ず保存する（共有フォルダの場合は、閉じる前に保存されたことを確認）。</t>
  </si>
  <si>
    <r>
      <rPr>
        <b val="true"/>
        <sz val="10"/>
        <color rgb="FFFFFFFF"/>
        <rFont val="游ゴシック"/>
        <family val="0"/>
      </rPr>
      <t xml:space="preserve">4</t>
    </r>
    <r>
      <rPr>
        <b val="true"/>
        <sz val="10"/>
        <color rgb="FFFFFFFF"/>
        <rFont val="Noto Sans CJK SC"/>
        <family val="0"/>
      </rPr>
      <t xml:space="preserve">．色の見方</t>
    </r>
  </si>
  <si>
    <t xml:space="preserve">118</t>
  </si>
  <si>
    <t xml:space="preserve">濃い色：その年度は目標得点率以上</t>
  </si>
  <si>
    <t xml:space="preserve">96</t>
  </si>
  <si>
    <t xml:space="preserve">淡い色：目標得点率に届かなかった</t>
  </si>
  <si>
    <t xml:space="preserve">ごく淡い色：予定年分の外（解かなくてよい年度）</t>
  </si>
  <si>
    <t xml:space="preserve">期限超過</t>
  </si>
  <si>
    <r>
      <rPr>
        <sz val="10"/>
        <color rgb="FF000000"/>
        <rFont val="Noto Sans CJK SC"/>
        <family val="0"/>
      </rPr>
      <t xml:space="preserve">右端「</t>
    </r>
    <r>
      <rPr>
        <sz val="10"/>
        <color rgb="FF000000"/>
        <rFont val=""/>
        <family val="2"/>
        <charset val="2"/>
      </rPr>
      <t xml:space="preserve">1</t>
    </r>
    <r>
      <rPr>
        <sz val="10"/>
        <color rgb="FF000000"/>
        <rFont val="Noto Sans CJK SC"/>
        <family val="0"/>
      </rPr>
      <t xml:space="preserve">週間に必要な年数」：完了期限を過ぎている</t>
    </r>
  </si>
  <si>
    <r>
      <rPr>
        <sz val="9"/>
        <color rgb="FF55617D"/>
        <rFont val="Noto Sans CJK SC"/>
        <family val="0"/>
      </rPr>
      <t xml:space="preserve">右側の「</t>
    </r>
    <r>
      <rPr>
        <sz val="9"/>
        <color rgb="FF55617D"/>
        <rFont val=""/>
        <family val="2"/>
        <charset val="2"/>
      </rPr>
      <t xml:space="preserve">1</t>
    </r>
    <r>
      <rPr>
        <sz val="9"/>
        <color rgb="FF55617D"/>
        <rFont val="Noto Sans CJK SC"/>
        <family val="0"/>
      </rPr>
      <t xml:space="preserve">週間に必要な年数」は、今日から完了期限までに、</t>
    </r>
    <r>
      <rPr>
        <sz val="9"/>
        <color rgb="FF55617D"/>
        <rFont val=""/>
        <family val="2"/>
        <charset val="2"/>
      </rPr>
      <t xml:space="preserve">1</t>
    </r>
    <r>
      <rPr>
        <sz val="9"/>
        <color rgb="FF55617D"/>
        <rFont val="Noto Sans CJK SC"/>
        <family val="0"/>
      </rPr>
      <t xml:space="preserve">週間あたり何年分解けば予定どおり終わるかの目安です。</t>
    </r>
  </si>
  <si>
    <r>
      <rPr>
        <b val="true"/>
        <sz val="10"/>
        <color rgb="FFFFFFFF"/>
        <rFont val="游ゴシック"/>
        <family val="0"/>
      </rPr>
      <t xml:space="preserve">5</t>
    </r>
    <r>
      <rPr>
        <b val="true"/>
        <sz val="10"/>
        <color rgb="FFFFFFFF"/>
        <rFont val="Noto Sans CJK SC"/>
        <family val="0"/>
      </rPr>
      <t xml:space="preserve">．シート一覧（番号をクリックして移動）</t>
    </r>
  </si>
  <si>
    <t xml:space="preserve">01</t>
  </si>
  <si>
    <t xml:space="preserve">09</t>
  </si>
  <si>
    <t xml:space="preserve">17</t>
  </si>
  <si>
    <t xml:space="preserve">25</t>
  </si>
  <si>
    <t xml:space="preserve">02</t>
  </si>
  <si>
    <t xml:space="preserve">10</t>
  </si>
  <si>
    <t xml:space="preserve">18</t>
  </si>
  <si>
    <t xml:space="preserve">26</t>
  </si>
  <si>
    <t xml:space="preserve">03</t>
  </si>
  <si>
    <t xml:space="preserve">11</t>
  </si>
  <si>
    <t xml:space="preserve">19</t>
  </si>
  <si>
    <t xml:space="preserve">27</t>
  </si>
  <si>
    <t xml:space="preserve">04</t>
  </si>
  <si>
    <t xml:space="preserve">12</t>
  </si>
  <si>
    <t xml:space="preserve">20</t>
  </si>
  <si>
    <t xml:space="preserve">28</t>
  </si>
  <si>
    <t xml:space="preserve">05</t>
  </si>
  <si>
    <t xml:space="preserve">13</t>
  </si>
  <si>
    <t xml:space="preserve">21</t>
  </si>
  <si>
    <t xml:space="preserve">29</t>
  </si>
  <si>
    <t xml:space="preserve">06</t>
  </si>
  <si>
    <t xml:space="preserve">14</t>
  </si>
  <si>
    <t xml:space="preserve">22</t>
  </si>
  <si>
    <t xml:space="preserve">30</t>
  </si>
  <si>
    <t xml:space="preserve">07</t>
  </si>
  <si>
    <t xml:space="preserve">15</t>
  </si>
  <si>
    <t xml:space="preserve">23</t>
  </si>
  <si>
    <t xml:space="preserve">31</t>
  </si>
  <si>
    <t xml:space="preserve">08</t>
  </si>
  <si>
    <t xml:space="preserve">16</t>
  </si>
  <si>
    <t xml:space="preserve">24</t>
  </si>
  <si>
    <t xml:space="preserve">32</t>
  </si>
  <si>
    <r>
      <rPr>
        <b val="true"/>
        <sz val="14"/>
        <color rgb="FFFFFFFF"/>
        <rFont val="Noto Sans CJK SC"/>
        <family val="0"/>
      </rPr>
      <t xml:space="preserve">過去問演習　一覧シート　（番号 </t>
    </r>
    <r>
      <rPr>
        <b val="true"/>
        <sz val="14"/>
        <color rgb="FFFFFFFF"/>
        <rFont val=""/>
        <family val="2"/>
        <charset val="2"/>
      </rPr>
      <t xml:space="preserve">01</t>
    </r>
    <r>
      <rPr>
        <b val="true"/>
        <sz val="14"/>
        <color rgb="FFFFFFFF"/>
        <rFont val="Noto Sans CJK SC"/>
        <family val="0"/>
      </rPr>
      <t xml:space="preserve">）</t>
    </r>
  </si>
  <si>
    <r>
      <rPr>
        <sz val="9"/>
        <color rgb="FF55617D"/>
        <rFont val="Noto Sans CJK SC"/>
        <family val="0"/>
      </rPr>
      <t xml:space="preserve">大学・学部・学科ごとに科目を並べ、横に</t>
    </r>
    <r>
      <rPr>
        <sz val="9"/>
        <color rgb="FF55617D"/>
        <rFont val=""/>
        <family val="2"/>
        <charset val="2"/>
      </rPr>
      <t xml:space="preserve">10</t>
    </r>
    <r>
      <rPr>
        <sz val="9"/>
        <color rgb="FF55617D"/>
        <rFont val="Noto Sans CJK SC"/>
        <family val="0"/>
      </rPr>
      <t xml:space="preserve">年分の得点を入れていく一覧です。解いたら、その年度のマスに「得点」を入れるだけ（満点と目標得点率は最初に</t>
    </r>
    <r>
      <rPr>
        <sz val="9"/>
        <color rgb="FF55617D"/>
        <rFont val=""/>
        <family val="2"/>
        <charset val="2"/>
      </rPr>
      <t xml:space="preserve">1</t>
    </r>
    <r>
      <rPr>
        <sz val="9"/>
        <color rgb="FF55617D"/>
        <rFont val="Noto Sans CJK SC"/>
        <family val="0"/>
      </rPr>
      <t xml:space="preserve">回だけ入力）。目標以上の年度は濃く、目標未満は淡く表示され、各大学の最下行に年度ごとの合計得点率が出ます。</t>
    </r>
  </si>
  <si>
    <t xml:space="preserve">入力のしかた：白いセルに入力 ／ ▼のセルは一覧から選択 ／ 薄い灰色のセルは自動計算（入力不要）</t>
  </si>
  <si>
    <t xml:space="preserve">番号</t>
  </si>
  <si>
    <t xml:space="preserve">基準日</t>
  </si>
  <si>
    <r>
      <rPr>
        <sz val="9"/>
        <color rgb="FF55617D"/>
        <rFont val="Noto Sans CJK SC"/>
        <family val="0"/>
      </rPr>
      <t xml:space="preserve">基準日＝今日。「</t>
    </r>
    <r>
      <rPr>
        <sz val="9"/>
        <color rgb="FF55617D"/>
        <rFont val=""/>
        <family val="2"/>
        <charset val="2"/>
      </rPr>
      <t xml:space="preserve">1</t>
    </r>
    <r>
      <rPr>
        <sz val="9"/>
        <color rgb="FF55617D"/>
        <rFont val="Noto Sans CJK SC"/>
        <family val="0"/>
      </rPr>
      <t xml:space="preserve">週間に必要」はここから完了期限までの週数で計算</t>
    </r>
  </si>
  <si>
    <t xml:space="preserve">目標
得点率</t>
  </si>
  <si>
    <t xml:space="preserve">予定
年分</t>
  </si>
  <si>
    <t xml:space="preserve">完了
期限</t>
  </si>
  <si>
    <t xml:space="preserve">年度ごとの得点（解いたら点数を入力）　← 新しい年度</t>
  </si>
  <si>
    <t xml:space="preserve">集計（自動）</t>
  </si>
  <si>
    <t xml:space="preserve">2026</t>
  </si>
  <si>
    <t xml:space="preserve">2025</t>
  </si>
  <si>
    <t xml:space="preserve">2024</t>
  </si>
  <si>
    <t xml:space="preserve">2023</t>
  </si>
  <si>
    <t xml:space="preserve">2022</t>
  </si>
  <si>
    <t xml:space="preserve">2021</t>
  </si>
  <si>
    <t xml:space="preserve">2020</t>
  </si>
  <si>
    <t xml:space="preserve">2019</t>
  </si>
  <si>
    <t xml:space="preserve">2018</t>
  </si>
  <si>
    <t xml:space="preserve">2017</t>
  </si>
  <si>
    <t xml:space="preserve">済</t>
  </si>
  <si>
    <t xml:space="preserve">残り</t>
  </si>
  <si>
    <t xml:space="preserve">最新の
得点率</t>
  </si>
  <si>
    <t xml:space="preserve">平均
得点率</t>
  </si>
  <si>
    <t xml:space="preserve">最高
得点率</t>
  </si>
  <si>
    <t xml:space="preserve">目標
との差</t>
  </si>
  <si>
    <r>
      <rPr>
        <b val="true"/>
        <sz val="10"/>
        <color rgb="FFFFFFFF"/>
        <rFont val="游ゴシック"/>
        <family val="0"/>
      </rPr>
      <t xml:space="preserve">1</t>
    </r>
    <r>
      <rPr>
        <b val="true"/>
        <sz val="10"/>
        <color rgb="FFFFFFFF"/>
        <rFont val="Noto Sans CJK SC"/>
        <family val="0"/>
      </rPr>
      <t xml:space="preserve">週間に
必要な年数</t>
    </r>
  </si>
  <si>
    <t xml:space="preserve">（例）○○大学
法学部 法律学科</t>
  </si>
  <si>
    <t xml:space="preserve">国語</t>
  </si>
  <si>
    <t xml:space="preserve">日本史</t>
  </si>
  <si>
    <t xml:space="preserve">合計</t>
  </si>
  <si>
    <t/>
  </si>
  <si>
    <t/>
  </si>
  <si>
    <t/>
  </si>
  <si>
    <t/>
  </si>
  <si>
    <t xml:space="preserve">■ 濃い色のマス＝目標得点率以上　■ 淡い色のマス＝目標未満　■ ごく淡いマス＝予定年分の範囲外（解かなくてよい年度）　合計行は、その年度の全科目に得点が入ったときだけ合計得点率を表示します。目標欄（合計行）には合格最低点の得点率などを入れてください。</t>
  </si>
  <si>
    <r>
      <rPr>
        <sz val="9"/>
        <color rgb="FF55617D"/>
        <rFont val="Noto Sans CJK SC"/>
        <family val="0"/>
      </rPr>
      <t xml:space="preserve">入力のしかた・注意点は「はじめに」シートを見てください。年度の見出し（</t>
    </r>
    <r>
      <rPr>
        <sz val="9"/>
        <color rgb="FF55617D"/>
        <rFont val=""/>
        <family val="2"/>
        <charset val="2"/>
      </rPr>
      <t xml:space="preserve">2026</t>
    </r>
    <r>
      <rPr>
        <sz val="9"/>
        <color rgb="FF55617D"/>
        <rFont val="Noto Sans CJK SC"/>
        <family val="0"/>
      </rPr>
      <t xml:space="preserve">〜</t>
    </r>
    <r>
      <rPr>
        <sz val="9"/>
        <color rgb="FF55617D"/>
        <rFont val=""/>
        <family val="2"/>
        <charset val="2"/>
      </rPr>
      <t xml:space="preserve">2017</t>
    </r>
    <r>
      <rPr>
        <sz val="9"/>
        <color rgb="FF55617D"/>
        <rFont val="Noto Sans CJK SC"/>
        <family val="0"/>
      </rPr>
      <t xml:space="preserve">）は書き換えできます。</t>
    </r>
  </si>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</sst>
</file>

<file path=xl/styles.xml><?xml version="1.0" encoding="utf-8"?>
<styleSheet xmlns="http://schemas.openxmlformats.org/spreadsheetml/2006/main">
  <numFmts count="7">
    <numFmt numFmtId="164" formatCode="General"/>
    <numFmt numFmtId="165" formatCode="yyyy/m/d"/>
    <numFmt numFmtId="166" formatCode="m/d"/>
    <numFmt numFmtId="167" formatCode="0%"/>
    <numFmt numFmtId="168" formatCode="General"/>
    <numFmt numFmtId="169" formatCode="\+0%;\-0%;0%"/>
    <numFmt numFmtId="170" formatCode="0.0"/>
  </numFmts>
  <fonts count="19">
    <font>
      <sz val="11"/>
      <color rgb="FF000000"/>
      <name val="Calibri"/>
      <family val="0"/>
    </font>
    <font>
      <sz val="10"/>
      <name val="Arial"/>
      <family val="0"/>
    </font>
    <font>
      <sz val="10"/>
      <name val="Arial"/>
      <family val="0"/>
    </font>
    <font>
      <sz val="10"/>
      <name val="Arial"/>
      <family val="0"/>
    </font>
    <font>
      <b val="true"/>
      <sz val="11"/>
      <color rgb="FFFFFFFF"/>
      <name val="游ゴシック"/>
      <family val="0"/>
    </font>
    <font>
      <b val="true"/>
      <sz val="14"/>
      <color rgb="FFFFFFFF"/>
      <name val="Noto Sans CJK SC"/>
      <family val="0"/>
    </font>
    <font>
      <sz val="9"/>
      <color rgb="FF55617D"/>
      <name val="Noto Sans CJK SC"/>
      <family val="0"/>
    </font>
    <font>
      <sz val="9"/>
      <color rgb="FF55617D"/>
      <name val=""/>
      <family val="2"/>
      <charset val="2"/>
    </font>
    <font>
      <b val="true"/>
      <sz val="10"/>
      <color rgb="FFFFFFFF"/>
      <name val="游ゴシック"/>
      <family val="0"/>
    </font>
    <font>
      <b val="true"/>
      <sz val="10"/>
      <color rgb="FFFFFFFF"/>
      <name val="Noto Sans CJK SC"/>
      <family val="0"/>
    </font>
    <font>
      <b val="true"/>
      <sz val="10"/>
      <color rgb="FF000000"/>
      <name val="游ゴシック"/>
      <family val="0"/>
    </font>
    <font>
      <b val="true"/>
      <sz val="10"/>
      <color rgb="FF000000"/>
      <name val="Noto Sans CJK SC"/>
      <family val="0"/>
    </font>
    <font>
      <i val="true"/>
      <sz val="10"/>
      <color rgb="FF55617D"/>
      <name val="Noto Sans CJK SC"/>
      <family val="0"/>
    </font>
    <font>
      <sz val="10"/>
      <color rgb="FF000000"/>
      <name val="游ゴシック"/>
      <family val="0"/>
    </font>
    <font>
      <sz val="10"/>
      <color rgb="FF000000"/>
      <name val="Noto Sans CJK SC"/>
      <family val="0"/>
    </font>
    <font>
      <i val="true"/>
      <sz val="10"/>
      <color rgb="FF55617D"/>
      <name val="游ゴシック"/>
      <family val="0"/>
    </font>
    <font>
      <sz val="10"/>
      <color rgb="FF000000"/>
      <name val=""/>
      <family val="2"/>
      <charset val="2"/>
    </font>
    <font>
      <b val="true"/>
      <u val="single"/>
      <sz val="11"/>
      <color rgb="FF1E2761"/>
      <name val="游ゴシック"/>
      <family val="0"/>
    </font>
    <font>
      <b val="true"/>
      <sz val="14"/>
      <color rgb="FFFFFFFF"/>
      <name val=""/>
      <family val="2"/>
      <charset val="2"/>
    </font>
  </fonts>
  <fills count="6">
    <fill>
      <patternFill patternType="none"/>
    </fill>
    <fill>
      <patternFill patternType="gray125"/>
    </fill>
    <fill>
      <patternFill patternType="solid">
        <fgColor rgb="FF1E2761"/>
        <bgColor rgb="FF333333"/>
      </patternFill>
    </fill>
    <fill>
      <patternFill patternType="solid">
        <fgColor rgb="FFE7EBF2"/>
        <bgColor rgb="FFF4F6FA"/>
      </patternFill>
    </fill>
    <fill>
      <patternFill patternType="solid">
        <fgColor rgb="FFF4F6FA"/>
        <bgColor rgb="FFFFFFFF"/>
      </patternFill>
    </fill>
    <fill>
      <patternFill patternType="solid">
        <fgColor rgb="FF55617D"/>
        <bgColor rgb="FF808080"/>
      </patternFill>
    </fill>
  </fills>
  <borders count="5">
    <border diagonalUp="false" diagonalDown="false">
      <left/>
      <right/>
      <top/>
      <bottom/>
      <diagonal/>
    </border>
    <border diagonalUp="false" diagonalDown="false">
      <left style="hair">
        <color rgb="FFC9D0DE"/>
      </left>
      <right style="hair">
        <color rgb="FFC9D0DE"/>
      </right>
      <top style="hair">
        <color rgb="FFC9D0DE"/>
      </top>
      <bottom style="hair">
        <color rgb="FFC9D0DE"/>
      </bottom>
      <diagonal/>
    </border>
    <border diagonalUp="false" diagonalDown="false">
      <left style="hair">
        <color rgb="FFC9D0DE"/>
      </left>
      <right style="hair">
        <color rgb="FFC9D0DE"/>
      </right>
      <top style="hair">
        <color rgb="FFC9D0DE"/>
      </top>
      <bottom style="medium">
        <color rgb="FF1E2761"/>
      </bottom>
      <diagonal/>
    </border>
    <border diagonalUp="false" diagonalDown="false">
      <left style="hair">
        <color rgb="FFC9D0DE"/>
      </left>
      <right style="hair">
        <color rgb="FFC9D0DE"/>
      </right>
      <top style="medium">
        <color rgb="FF1E2761"/>
      </top>
      <bottom style="medium">
        <color rgb="FF1E2761"/>
      </bottom>
      <diagonal/>
    </border>
    <border diagonalUp="false" diagonalDown="false">
      <left style="hair">
        <color rgb="FFC9D0DE"/>
      </left>
      <right style="hair">
        <color rgb="FFC9D0DE"/>
      </right>
      <top style="medium">
        <color rgb="FF1E2761"/>
      </top>
      <bottom style="hair">
        <color rgb="FFC9D0DE"/>
      </bottom>
      <diagonal/>
    </border>
  </borders>
  <cellStyleXfs count="23">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2" borderId="0" applyFont="true" applyBorder="false" applyAlignment="true" applyProtection="false">
      <alignment horizontal="general" vertical="bottom" textRotation="0" wrapText="false" indent="0" shrinkToFit="false"/>
    </xf>
    <xf numFmtId="164" fontId="0" fillId="3" borderId="0" applyFont="true" applyBorder="false" applyAlignment="true" applyProtection="false">
      <alignment horizontal="general" vertical="bottom" textRotation="0" wrapText="false" indent="0" shrinkToFit="false"/>
    </xf>
    <xf numFmtId="164" fontId="0" fillId="4" borderId="0" applyFont="true" applyBorder="false" applyAlignment="true" applyProtection="false">
      <alignment horizontal="general" vertical="bottom" textRotation="0" wrapText="false" indent="0" shrinkToFit="false"/>
    </xf>
  </cellStyleXfs>
  <cellXfs count="5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2" borderId="0" xfId="0" applyFont="true" applyBorder="false" applyAlignment="true" applyProtection="false">
      <alignment horizontal="general" vertical="center" textRotation="0" wrapText="true" indent="0" shrinkToFit="false"/>
      <protection locked="true" hidden="false"/>
    </xf>
    <xf numFmtId="164" fontId="6" fillId="4" borderId="0" xfId="0" applyFont="true" applyBorder="false" applyAlignment="true" applyProtection="false">
      <alignment horizontal="general" vertical="center" textRotation="0" wrapText="true" indent="0" shrinkToFit="false"/>
      <protection locked="true" hidden="false"/>
    </xf>
    <xf numFmtId="164" fontId="8" fillId="2" borderId="0" xfId="0" applyFont="true" applyBorder="false" applyAlignment="true" applyProtection="false">
      <alignment horizontal="general" vertical="center" textRotation="0" wrapText="true" indent="0" shrinkToFit="false"/>
      <protection locked="true" hidden="false"/>
    </xf>
    <xf numFmtId="164" fontId="9" fillId="5" borderId="1" xfId="0" applyFont="true" applyBorder="true" applyAlignment="true" applyProtection="false">
      <alignment horizontal="center" vertical="center" textRotation="0" wrapText="true" indent="0" shrinkToFit="false"/>
      <protection locked="true" hidden="false"/>
    </xf>
    <xf numFmtId="164" fontId="10" fillId="3" borderId="1"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general" vertical="center" textRotation="0" wrapText="true" indent="0" shrinkToFit="false"/>
      <protection locked="true" hidden="false"/>
    </xf>
    <xf numFmtId="164" fontId="12" fillId="4" borderId="1" xfId="0" applyFont="true" applyBorder="true" applyAlignment="true" applyProtection="false">
      <alignment horizontal="center" vertical="center" textRotation="0" wrapText="true" indent="0" shrinkToFit="false"/>
      <protection locked="true" hidden="false"/>
    </xf>
    <xf numFmtId="164" fontId="13" fillId="0" borderId="1" xfId="0" applyFont="true" applyBorder="true" applyAlignment="true" applyProtection="false">
      <alignment horizontal="general" vertical="center" textRotation="0" wrapText="true" indent="0" shrinkToFit="false"/>
      <protection locked="true" hidden="false"/>
    </xf>
    <xf numFmtId="164" fontId="15" fillId="4" borderId="1" xfId="0" applyFont="true" applyBorder="true" applyAlignment="true" applyProtection="false">
      <alignment horizontal="center" vertical="center" textRotation="0" wrapText="true" indent="0" shrinkToFit="false"/>
      <protection locked="true" hidden="false"/>
    </xf>
    <xf numFmtId="164" fontId="14" fillId="0" borderId="1" xfId="0" applyFont="true" applyBorder="true" applyAlignment="true" applyProtection="false">
      <alignment horizontal="general" vertical="center" textRotation="0" wrapText="true" indent="0" shrinkToFit="false"/>
      <protection locked="true" hidden="false"/>
    </xf>
    <xf numFmtId="164" fontId="11" fillId="0" borderId="1"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false" applyAlignment="true" applyProtection="false">
      <alignment horizontal="general" vertical="center" textRotation="0" wrapText="tru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10" fillId="4" borderId="1" xfId="0" applyFont="true" applyBorder="true" applyAlignment="true" applyProtection="false">
      <alignment horizontal="center" vertical="center" textRotation="0" wrapText="true" indent="0" shrinkToFit="false"/>
      <protection locked="true" hidden="false"/>
    </xf>
    <xf numFmtId="164" fontId="9" fillId="2" borderId="1" xfId="0" applyFont="true" applyBorder="true" applyAlignment="true" applyProtection="false">
      <alignment horizontal="center" vertical="center" textRotation="0" wrapText="true" indent="0" shrinkToFit="false"/>
      <protection locked="true" hidden="false"/>
    </xf>
    <xf numFmtId="164" fontId="17" fillId="4" borderId="1" xfId="0" applyFont="true" applyBorder="true" applyAlignment="true" applyProtection="false">
      <alignment horizontal="center" vertical="center" textRotation="0" wrapText="true" indent="0" shrinkToFit="false"/>
      <protection locked="true" hidden="false"/>
    </xf>
    <xf numFmtId="164" fontId="11" fillId="3" borderId="1" xfId="0" applyFont="true" applyBorder="true" applyAlignment="true" applyProtection="false">
      <alignment horizontal="general" vertical="center" textRotation="0" wrapText="true" indent="0" shrinkToFit="false"/>
      <protection locked="true" hidden="false"/>
    </xf>
    <xf numFmtId="165" fontId="10" fillId="4" borderId="1" xfId="0" applyFont="true" applyBorder="true" applyAlignment="true" applyProtection="false">
      <alignment horizontal="center" vertical="center" textRotation="0" wrapText="true" indent="0" shrinkToFit="false"/>
      <protection locked="true" hidden="false"/>
    </xf>
    <xf numFmtId="164" fontId="6" fillId="0" borderId="0" xfId="0" applyFont="true" applyBorder="false" applyAlignment="true" applyProtection="false">
      <alignment horizontal="general" vertical="center" textRotation="0" wrapText="true" indent="0" shrinkToFit="false"/>
      <protection locked="true" hidden="false"/>
    </xf>
    <xf numFmtId="164" fontId="9" fillId="5" borderId="2" xfId="0" applyFont="true" applyBorder="true" applyAlignment="true" applyProtection="false">
      <alignment horizontal="center" vertical="center" textRotation="0" wrapText="true" indent="0" shrinkToFit="false"/>
      <protection locked="true" hidden="false"/>
    </xf>
    <xf numFmtId="164" fontId="8" fillId="5" borderId="1" xfId="0" applyFont="true" applyBorder="true" applyAlignment="true" applyProtection="true">
      <alignment horizontal="center" vertical="center" textRotation="0" wrapText="true" indent="0" shrinkToFit="false"/>
      <protection locked="false" hidden="false"/>
    </xf>
    <xf numFmtId="164" fontId="8" fillId="5" borderId="1" xfId="0" applyFont="true" applyBorder="true" applyAlignment="true" applyProtection="false">
      <alignment horizontal="center" vertical="center" textRotation="0" wrapText="true" indent="0" shrinkToFit="false"/>
      <protection locked="true" hidden="false"/>
    </xf>
    <xf numFmtId="164" fontId="12" fillId="4" borderId="3" xfId="0" applyFont="true" applyBorder="true" applyAlignment="true" applyProtection="false">
      <alignment horizontal="general" vertical="center" textRotation="0" wrapText="true" indent="0" shrinkToFit="false"/>
      <protection locked="true" hidden="false"/>
    </xf>
    <xf numFmtId="166" fontId="15" fillId="4" borderId="3" xfId="0" applyFont="true" applyBorder="true" applyAlignment="true" applyProtection="false">
      <alignment horizontal="center" vertical="center" textRotation="0" wrapText="true" indent="0" shrinkToFit="false"/>
      <protection locked="true" hidden="false"/>
    </xf>
    <xf numFmtId="164" fontId="12" fillId="4" borderId="4" xfId="0" applyFont="true" applyBorder="true" applyAlignment="true" applyProtection="false">
      <alignment horizontal="general" vertical="center" textRotation="0" wrapText="true" indent="0" shrinkToFit="false"/>
      <protection locked="true" hidden="false"/>
    </xf>
    <xf numFmtId="164" fontId="15" fillId="4" borderId="4" xfId="0" applyFont="true" applyBorder="true" applyAlignment="true" applyProtection="false">
      <alignment horizontal="center" vertical="center" textRotation="0" wrapText="true" indent="0" shrinkToFit="false"/>
      <protection locked="true" hidden="false"/>
    </xf>
    <xf numFmtId="167" fontId="15" fillId="4" borderId="4" xfId="0" applyFont="true" applyBorder="true" applyAlignment="true" applyProtection="false">
      <alignment horizontal="center" vertical="center" textRotation="0" wrapText="true" indent="0" shrinkToFit="false"/>
      <protection locked="true" hidden="false"/>
    </xf>
    <xf numFmtId="166" fontId="15" fillId="4" borderId="4" xfId="0" applyFont="true" applyBorder="true" applyAlignment="true" applyProtection="false">
      <alignment horizontal="center" vertical="center" textRotation="0" wrapText="true" indent="0" shrinkToFit="false"/>
      <protection locked="true" hidden="false"/>
    </xf>
    <xf numFmtId="168" fontId="10" fillId="4" borderId="4" xfId="0" applyFont="true" applyBorder="true" applyAlignment="true" applyProtection="false">
      <alignment horizontal="center" vertical="center" textRotation="0" wrapText="true" indent="0" shrinkToFit="false"/>
      <protection locked="true" hidden="false"/>
    </xf>
    <xf numFmtId="167" fontId="10" fillId="4" borderId="4" xfId="0" applyFont="true" applyBorder="true" applyAlignment="true" applyProtection="false">
      <alignment horizontal="center" vertical="center" textRotation="0" wrapText="true" indent="0" shrinkToFit="false"/>
      <protection locked="true" hidden="false"/>
    </xf>
    <xf numFmtId="169" fontId="10" fillId="4" borderId="4" xfId="0" applyFont="true" applyBorder="true" applyAlignment="true" applyProtection="false">
      <alignment horizontal="center" vertical="center" textRotation="0" wrapText="true" indent="0" shrinkToFit="false"/>
      <protection locked="true" hidden="false"/>
    </xf>
    <xf numFmtId="170" fontId="10" fillId="4" borderId="4" xfId="0" applyFont="true" applyBorder="true" applyAlignment="true" applyProtection="false">
      <alignment horizontal="center" vertical="center" textRotation="0" wrapText="true" indent="0" shrinkToFit="false"/>
      <protection locked="true" hidden="false"/>
    </xf>
    <xf numFmtId="164" fontId="12" fillId="4" borderId="1" xfId="0" applyFont="true" applyBorder="true" applyAlignment="true" applyProtection="false">
      <alignment horizontal="general" vertical="center" textRotation="0" wrapText="true" indent="0" shrinkToFit="false"/>
      <protection locked="true" hidden="false"/>
    </xf>
    <xf numFmtId="167" fontId="15" fillId="4" borderId="1" xfId="0" applyFont="true" applyBorder="true" applyAlignment="true" applyProtection="false">
      <alignment horizontal="center" vertical="center" textRotation="0" wrapText="true" indent="0" shrinkToFit="false"/>
      <protection locked="true" hidden="false"/>
    </xf>
    <xf numFmtId="166" fontId="15" fillId="4" borderId="1" xfId="0" applyFont="true" applyBorder="true" applyAlignment="true" applyProtection="false">
      <alignment horizontal="center" vertical="center" textRotation="0" wrapText="true" indent="0" shrinkToFit="false"/>
      <protection locked="true" hidden="false"/>
    </xf>
    <xf numFmtId="167" fontId="10" fillId="4" borderId="1" xfId="0" applyFont="true" applyBorder="true" applyAlignment="true" applyProtection="false">
      <alignment horizontal="center" vertical="center" textRotation="0" wrapText="true" indent="0" shrinkToFit="false"/>
      <protection locked="true" hidden="false"/>
    </xf>
    <xf numFmtId="169" fontId="10" fillId="4" borderId="1" xfId="0" applyFont="true" applyBorder="true" applyAlignment="true" applyProtection="false">
      <alignment horizontal="center" vertical="center" textRotation="0" wrapText="true" indent="0" shrinkToFit="false"/>
      <protection locked="true" hidden="false"/>
    </xf>
    <xf numFmtId="170" fontId="10" fillId="4" borderId="1" xfId="0" applyFont="true" applyBorder="true" applyAlignment="true" applyProtection="false">
      <alignment horizontal="center" vertical="center" textRotation="0" wrapText="true" indent="0" shrinkToFit="false"/>
      <protection locked="true" hidden="false"/>
    </xf>
    <xf numFmtId="164" fontId="11" fillId="3" borderId="1" xfId="0" applyFont="true" applyBorder="true" applyAlignment="true" applyProtection="false">
      <alignment horizontal="center" vertical="center" textRotation="0" wrapText="true" indent="0" shrinkToFit="false"/>
      <protection locked="true" hidden="false"/>
    </xf>
    <xf numFmtId="164" fontId="13" fillId="3" borderId="1" xfId="0" applyFont="true" applyBorder="true" applyAlignment="true" applyProtection="false">
      <alignment horizontal="general" vertical="center" textRotation="0" wrapText="true" indent="0" shrinkToFit="false"/>
      <protection locked="true" hidden="false"/>
    </xf>
    <xf numFmtId="164" fontId="10" fillId="0" borderId="3" xfId="0" applyFont="true" applyBorder="true" applyAlignment="true" applyProtection="true">
      <alignment horizontal="general" vertical="center" textRotation="0" wrapText="true" indent="0" shrinkToFit="false"/>
      <protection locked="false" hidden="false"/>
    </xf>
    <xf numFmtId="166" fontId="13" fillId="0" borderId="3" xfId="0" applyFont="true" applyBorder="true" applyAlignment="true" applyProtection="true">
      <alignment horizontal="center" vertical="center" textRotation="0" wrapText="true" indent="0" shrinkToFit="false"/>
      <protection locked="false" hidden="false"/>
    </xf>
    <xf numFmtId="164" fontId="13" fillId="0" borderId="4" xfId="0" applyFont="true" applyBorder="true" applyAlignment="true" applyProtection="true">
      <alignment horizontal="general" vertical="center" textRotation="0" wrapText="true" indent="0" shrinkToFit="false"/>
      <protection locked="false" hidden="false"/>
    </xf>
    <xf numFmtId="164" fontId="13" fillId="0" borderId="4" xfId="0" applyFont="true" applyBorder="true" applyAlignment="true" applyProtection="true">
      <alignment horizontal="center" vertical="center" textRotation="0" wrapText="true" indent="0" shrinkToFit="false"/>
      <protection locked="false" hidden="false"/>
    </xf>
    <xf numFmtId="167" fontId="13" fillId="0" borderId="4" xfId="0" applyFont="true" applyBorder="true" applyAlignment="true" applyProtection="true">
      <alignment horizontal="center" vertical="center" textRotation="0" wrapText="true" indent="0" shrinkToFit="false"/>
      <protection locked="false" hidden="false"/>
    </xf>
    <xf numFmtId="166" fontId="13" fillId="0" borderId="4" xfId="0" applyFont="true" applyBorder="true" applyAlignment="true" applyProtection="true">
      <alignment horizontal="center" vertical="center" textRotation="0" wrapText="true" indent="0" shrinkToFit="false"/>
      <protection locked="false" hidden="false"/>
    </xf>
    <xf numFmtId="164" fontId="13" fillId="0" borderId="1" xfId="0" applyFont="true" applyBorder="true" applyAlignment="true" applyProtection="true">
      <alignment horizontal="general" vertical="center" textRotation="0" wrapText="true" indent="0" shrinkToFit="false"/>
      <protection locked="false" hidden="false"/>
    </xf>
    <xf numFmtId="164" fontId="13" fillId="0" borderId="1" xfId="0" applyFont="true" applyBorder="true" applyAlignment="true" applyProtection="true">
      <alignment horizontal="center" vertical="center" textRotation="0" wrapText="true" indent="0" shrinkToFit="false"/>
      <protection locked="false" hidden="false"/>
    </xf>
    <xf numFmtId="167" fontId="13" fillId="0" borderId="1" xfId="0" applyFont="true" applyBorder="true" applyAlignment="true" applyProtection="true">
      <alignment horizontal="center" vertical="center" textRotation="0" wrapText="true" indent="0" shrinkToFit="false"/>
      <protection locked="false" hidden="false"/>
    </xf>
    <xf numFmtId="166" fontId="13" fillId="0" borderId="1" xfId="0" applyFont="true" applyBorder="true" applyAlignment="true" applyProtection="true">
      <alignment horizontal="center" vertical="center" textRotation="0" wrapText="true" indent="0" shrinkToFit="false"/>
      <protection locked="false" hidden="false"/>
    </xf>
    <xf numFmtId="164" fontId="10" fillId="0" borderId="4" xfId="0" applyFont="true" applyBorder="true" applyAlignment="true" applyProtection="true">
      <alignment horizontal="general" vertical="center" textRotation="0" wrapText="true" indent="0" shrinkToFit="false"/>
      <protection locked="false" hidden="false"/>
    </xf>
  </cellXfs>
  <cellStyles count="9">
    <cellStyle name="Normal" xfId="0" builtinId="0"/>
    <cellStyle name="Comma" xfId="15" builtinId="3"/>
    <cellStyle name="Comma [0]" xfId="16" builtinId="6"/>
    <cellStyle name="Currency" xfId="17" builtinId="4"/>
    <cellStyle name="Currency [0]" xfId="18" builtinId="7"/>
    <cellStyle name="Percent" xfId="19" builtinId="5"/>
    <cellStyle name="cf1" xfId="20"/>
    <cellStyle name="cf2" xfId="21"/>
    <cellStyle name="cf3" xfId="22"/>
  </cellStyles>
  <dxfs count="3">
    <dxf>
      <font>
        <name val="游ゴシック"/>
        <family val="0"/>
        <b val="1"/>
        <color rgb="FFFFFFFF"/>
        <sz val="11"/>
      </font>
      <fill>
        <patternFill>
          <bgColor rgb="FF1E2761"/>
        </patternFill>
      </fill>
    </dxf>
    <dxf>
      <font>
        <name val="Calibri"/>
        <family val="0"/>
        <color rgb="FF000000"/>
        <sz val="11"/>
      </font>
      <fill>
        <patternFill>
          <bgColor rgb="FFE7EBF2"/>
        </patternFill>
      </fill>
    </dxf>
    <dxf>
      <font>
        <name val="Calibri"/>
        <family val="0"/>
        <color rgb="FF000000"/>
        <sz val="11"/>
      </font>
      <fill>
        <patternFill>
          <bgColor rgb="FFF4F6FA"/>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4F6FA"/>
      <rgbColor rgb="FFE7EBF2"/>
      <rgbColor rgb="FF660066"/>
      <rgbColor rgb="FFFF8080"/>
      <rgbColor rgb="FF0066CC"/>
      <rgbColor rgb="FFC9D0DE"/>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617D"/>
      <rgbColor rgb="FF969696"/>
      <rgbColor rgb="FF1E2761"/>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3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4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24609375" defaultRowHeight="15" zeroHeight="false" outlineLevelRow="0" outlineLevelCol="0"/>
  <cols>
    <col collapsed="false" customWidth="true" hidden="false" outlineLevel="0" max="1" min="1" style="1" width="6.62"/>
    <col collapsed="false" customWidth="true" hidden="false" outlineLevel="0" max="2" min="2" style="1" width="22.7"/>
    <col collapsed="false" customWidth="true" hidden="false" outlineLevel="0" max="3" min="3" style="1" width="24.59"/>
    <col collapsed="false" customWidth="true" hidden="false" outlineLevel="0" max="4" min="4" style="1" width="56.76"/>
    <col collapsed="false" customWidth="true" hidden="false" outlineLevel="0" max="5" min="5" style="1" width="0.94"/>
    <col collapsed="false" customWidth="false" hidden="false" outlineLevel="0" max="16384" min="6" style="1" width="8.24"/>
  </cols>
  <sheetData>
    <row r="1" customFormat="false" ht="30" hidden="false" customHeight="true" outlineLevel="0" collapsed="false">
      <c r="A1" s="2" t="s">
        <v>0</v>
      </c>
      <c r="B1" s="2"/>
      <c r="C1" s="2"/>
      <c r="D1" s="2"/>
    </row>
    <row r="2" customFormat="false" ht="43.5" hidden="false" customHeight="true" outlineLevel="0" collapsed="false">
      <c r="A2" s="3" t="s">
        <v>1</v>
      </c>
      <c r="B2" s="3"/>
      <c r="C2" s="3"/>
      <c r="D2" s="3"/>
    </row>
    <row r="3" customFormat="false" ht="13.8" hidden="false" customHeight="false" outlineLevel="0" collapsed="false"/>
    <row r="4" customFormat="false" ht="13.8" hidden="false" customHeight="false" outlineLevel="0" collapsed="false"/>
    <row r="5" customFormat="false" ht="21.75" hidden="false" customHeight="true" outlineLevel="0" collapsed="false">
      <c r="A5" s="4" t="s">
        <v>2</v>
      </c>
      <c r="B5" s="4"/>
      <c r="C5" s="4"/>
      <c r="D5" s="4"/>
    </row>
    <row r="6" customFormat="false" ht="30" hidden="false" customHeight="true" outlineLevel="0" collapsed="false">
      <c r="A6" s="5" t="s">
        <v>3</v>
      </c>
      <c r="B6" s="5" t="s">
        <v>4</v>
      </c>
      <c r="C6" s="5" t="s">
        <v>5</v>
      </c>
      <c r="D6" s="5" t="s">
        <v>6</v>
      </c>
    </row>
    <row r="7" customFormat="false" ht="27.75" hidden="false" customHeight="true" outlineLevel="0" collapsed="false">
      <c r="A7" s="6" t="n">
        <v>1</v>
      </c>
      <c r="B7" s="7" t="s">
        <v>7</v>
      </c>
      <c r="C7" s="8" t="s">
        <v>8</v>
      </c>
      <c r="D7" s="9" t="s">
        <v>9</v>
      </c>
    </row>
    <row r="8" customFormat="false" ht="27.75" hidden="false" customHeight="true" outlineLevel="0" collapsed="false">
      <c r="A8" s="6" t="n">
        <v>2</v>
      </c>
      <c r="B8" s="7" t="s">
        <v>10</v>
      </c>
      <c r="C8" s="10" t="s">
        <v>11</v>
      </c>
      <c r="D8" s="11" t="s">
        <v>12</v>
      </c>
    </row>
    <row r="9" customFormat="false" ht="27.75" hidden="false" customHeight="true" outlineLevel="0" collapsed="false">
      <c r="A9" s="6" t="n">
        <v>3</v>
      </c>
      <c r="B9" s="7" t="s">
        <v>13</v>
      </c>
      <c r="C9" s="8" t="s">
        <v>14</v>
      </c>
      <c r="D9" s="9" t="s">
        <v>15</v>
      </c>
    </row>
    <row r="10" customFormat="false" ht="27.75" hidden="false" customHeight="true" outlineLevel="0" collapsed="false">
      <c r="A10" s="6" t="n">
        <v>4</v>
      </c>
      <c r="B10" s="7" t="s">
        <v>16</v>
      </c>
      <c r="C10" s="10" t="s">
        <v>17</v>
      </c>
      <c r="D10" s="11" t="s">
        <v>18</v>
      </c>
    </row>
    <row r="11" customFormat="false" ht="27.75" hidden="false" customHeight="true" outlineLevel="0" collapsed="false">
      <c r="A11" s="6" t="n">
        <v>5</v>
      </c>
      <c r="B11" s="7" t="s">
        <v>19</v>
      </c>
      <c r="C11" s="10" t="s">
        <v>20</v>
      </c>
      <c r="D11" s="11" t="s">
        <v>21</v>
      </c>
    </row>
    <row r="12" customFormat="false" ht="27.75" hidden="false" customHeight="true" outlineLevel="0" collapsed="false">
      <c r="A12" s="6" t="n">
        <v>6</v>
      </c>
      <c r="B12" s="7" t="s">
        <v>22</v>
      </c>
      <c r="C12" s="10" t="s">
        <v>23</v>
      </c>
      <c r="D12" s="11" t="s">
        <v>24</v>
      </c>
    </row>
    <row r="13" customFormat="false" ht="27.75" hidden="false" customHeight="true" outlineLevel="0" collapsed="false">
      <c r="A13" s="6" t="n">
        <v>7</v>
      </c>
      <c r="B13" s="7" t="s">
        <v>25</v>
      </c>
      <c r="C13" s="10" t="s">
        <v>26</v>
      </c>
      <c r="D13" s="11" t="s">
        <v>27</v>
      </c>
    </row>
    <row r="14" customFormat="false" ht="27.75" hidden="false" customHeight="true" outlineLevel="0" collapsed="false">
      <c r="A14" s="6" t="n">
        <v>8</v>
      </c>
      <c r="B14" s="7" t="s">
        <v>28</v>
      </c>
      <c r="C14" s="10" t="s">
        <v>29</v>
      </c>
      <c r="D14" s="11" t="s">
        <v>30</v>
      </c>
    </row>
    <row r="15" customFormat="false" ht="13.8" hidden="false" customHeight="false" outlineLevel="0" collapsed="false"/>
    <row r="16" customFormat="false" ht="21.75" hidden="false" customHeight="true" outlineLevel="0" collapsed="false">
      <c r="A16" s="4" t="s">
        <v>31</v>
      </c>
      <c r="B16" s="4"/>
      <c r="C16" s="4"/>
      <c r="D16" s="4"/>
    </row>
    <row r="17" customFormat="false" ht="21.75" hidden="false" customHeight="true" outlineLevel="0" collapsed="false">
      <c r="A17" s="12" t="s">
        <v>32</v>
      </c>
      <c r="B17" s="11" t="s">
        <v>33</v>
      </c>
      <c r="C17" s="11"/>
      <c r="D17" s="11"/>
    </row>
    <row r="18" customFormat="false" ht="21.75" hidden="false" customHeight="true" outlineLevel="0" collapsed="false">
      <c r="A18" s="12" t="s">
        <v>32</v>
      </c>
      <c r="B18" s="11" t="s">
        <v>34</v>
      </c>
      <c r="C18" s="11"/>
      <c r="D18" s="11"/>
    </row>
    <row r="19" customFormat="false" ht="21.75" hidden="false" customHeight="true" outlineLevel="0" collapsed="false">
      <c r="A19" s="12" t="s">
        <v>32</v>
      </c>
      <c r="B19" s="11" t="s">
        <v>35</v>
      </c>
      <c r="C19" s="11"/>
      <c r="D19" s="11"/>
    </row>
    <row r="20" customFormat="false" ht="21.75" hidden="false" customHeight="true" outlineLevel="0" collapsed="false">
      <c r="A20" s="12" t="s">
        <v>32</v>
      </c>
      <c r="B20" s="11" t="s">
        <v>36</v>
      </c>
      <c r="C20" s="11"/>
      <c r="D20" s="11"/>
    </row>
    <row r="21" customFormat="false" ht="21.75" hidden="false" customHeight="true" outlineLevel="0" collapsed="false">
      <c r="A21" s="12" t="s">
        <v>32</v>
      </c>
      <c r="B21" s="11" t="s">
        <v>37</v>
      </c>
      <c r="C21" s="11"/>
      <c r="D21" s="11"/>
    </row>
    <row r="22" customFormat="false" ht="13.8" hidden="false" customHeight="false" outlineLevel="0" collapsed="false"/>
    <row r="23" customFormat="false" ht="21.75" hidden="false" customHeight="true" outlineLevel="0" collapsed="false">
      <c r="A23" s="4" t="s">
        <v>38</v>
      </c>
      <c r="B23" s="4"/>
      <c r="C23" s="4"/>
      <c r="D23" s="4"/>
    </row>
    <row r="24" customFormat="false" ht="21.75" hidden="false" customHeight="true" outlineLevel="0" collapsed="false">
      <c r="A24" s="12" t="s">
        <v>32</v>
      </c>
      <c r="B24" s="11" t="s">
        <v>39</v>
      </c>
      <c r="C24" s="11"/>
      <c r="D24" s="11"/>
    </row>
    <row r="25" customFormat="false" ht="21.75" hidden="false" customHeight="true" outlineLevel="0" collapsed="false">
      <c r="A25" s="12" t="s">
        <v>32</v>
      </c>
      <c r="B25" s="11" t="s">
        <v>40</v>
      </c>
      <c r="C25" s="11"/>
      <c r="D25" s="11"/>
    </row>
    <row r="26" customFormat="false" ht="21.75" hidden="false" customHeight="true" outlineLevel="0" collapsed="false">
      <c r="A26" s="12" t="s">
        <v>32</v>
      </c>
      <c r="B26" s="11" t="s">
        <v>41</v>
      </c>
      <c r="C26" s="11"/>
      <c r="D26" s="11"/>
    </row>
    <row r="27" customFormat="false" ht="21.75" hidden="false" customHeight="true" outlineLevel="0" collapsed="false">
      <c r="A27" s="12" t="s">
        <v>32</v>
      </c>
      <c r="B27" s="11" t="s">
        <v>42</v>
      </c>
      <c r="C27" s="11"/>
      <c r="D27" s="11"/>
    </row>
    <row r="28" customFormat="false" ht="21.75" hidden="false" customHeight="true" outlineLevel="0" collapsed="false">
      <c r="A28" s="12" t="s">
        <v>32</v>
      </c>
      <c r="B28" s="11" t="s">
        <v>43</v>
      </c>
      <c r="C28" s="11"/>
      <c r="D28" s="11"/>
    </row>
    <row r="29" customFormat="false" ht="21.75" hidden="false" customHeight="true" outlineLevel="0" collapsed="false">
      <c r="A29" s="12" t="s">
        <v>32</v>
      </c>
      <c r="B29" s="11" t="s">
        <v>44</v>
      </c>
      <c r="C29" s="11"/>
      <c r="D29" s="11"/>
    </row>
    <row r="30" customFormat="false" ht="21.75" hidden="false" customHeight="true" outlineLevel="0" collapsed="false">
      <c r="A30" s="12" t="s">
        <v>32</v>
      </c>
      <c r="B30" s="11" t="s">
        <v>45</v>
      </c>
      <c r="C30" s="11"/>
      <c r="D30" s="11"/>
    </row>
    <row r="31" customFormat="false" ht="13.8" hidden="false" customHeight="false" outlineLevel="0" collapsed="false"/>
    <row r="32" customFormat="false" ht="21.75" hidden="false" customHeight="true" outlineLevel="0" collapsed="false">
      <c r="A32" s="4" t="s">
        <v>46</v>
      </c>
      <c r="B32" s="4"/>
      <c r="C32" s="4"/>
      <c r="D32" s="4"/>
    </row>
    <row r="33" customFormat="false" ht="15" hidden="false" customHeight="true" outlineLevel="0" collapsed="false">
      <c r="A33" s="13"/>
      <c r="B33" s="14" t="s">
        <v>47</v>
      </c>
      <c r="C33" s="11" t="s">
        <v>48</v>
      </c>
      <c r="D33" s="11"/>
    </row>
    <row r="34" customFormat="false" ht="15" hidden="false" customHeight="true" outlineLevel="0" collapsed="false">
      <c r="A34" s="13"/>
      <c r="B34" s="6" t="s">
        <v>49</v>
      </c>
      <c r="C34" s="11" t="s">
        <v>50</v>
      </c>
      <c r="D34" s="11"/>
    </row>
    <row r="35" customFormat="false" ht="15" hidden="false" customHeight="true" outlineLevel="0" collapsed="false">
      <c r="A35" s="13"/>
      <c r="B35" s="15"/>
      <c r="C35" s="11" t="s">
        <v>51</v>
      </c>
      <c r="D35" s="11"/>
    </row>
    <row r="36" customFormat="false" ht="15" hidden="false" customHeight="true" outlineLevel="0" collapsed="false">
      <c r="A36" s="13"/>
      <c r="B36" s="16" t="s">
        <v>52</v>
      </c>
      <c r="C36" s="11" t="s">
        <v>53</v>
      </c>
      <c r="D36" s="11"/>
    </row>
    <row r="37" customFormat="false" ht="15" hidden="false" customHeight="true" outlineLevel="0" collapsed="false">
      <c r="A37" s="3" t="s">
        <v>54</v>
      </c>
      <c r="B37" s="3"/>
      <c r="C37" s="3"/>
      <c r="D37" s="3"/>
    </row>
    <row r="38" customFormat="false" ht="13.8" hidden="false" customHeight="false" outlineLevel="0" collapsed="false"/>
    <row r="39" customFormat="false" ht="21.75" hidden="false" customHeight="true" outlineLevel="0" collapsed="false">
      <c r="A39" s="4" t="s">
        <v>55</v>
      </c>
      <c r="B39" s="4"/>
      <c r="C39" s="4"/>
      <c r="D39" s="4"/>
    </row>
    <row r="40" customFormat="false" ht="15" hidden="false" customHeight="false" outlineLevel="0" collapsed="false">
      <c r="A40" s="17" t="s">
        <v>56</v>
      </c>
      <c r="B40" s="17" t="s">
        <v>57</v>
      </c>
      <c r="C40" s="17" t="s">
        <v>58</v>
      </c>
      <c r="D40" s="17" t="s">
        <v>59</v>
      </c>
    </row>
    <row r="41" customFormat="false" ht="15" hidden="false" customHeight="false" outlineLevel="0" collapsed="false">
      <c r="A41" s="17" t="s">
        <v>60</v>
      </c>
      <c r="B41" s="17" t="s">
        <v>61</v>
      </c>
      <c r="C41" s="17" t="s">
        <v>62</v>
      </c>
      <c r="D41" s="17" t="s">
        <v>63</v>
      </c>
    </row>
    <row r="42" customFormat="false" ht="15" hidden="false" customHeight="false" outlineLevel="0" collapsed="false">
      <c r="A42" s="17" t="s">
        <v>64</v>
      </c>
      <c r="B42" s="17" t="s">
        <v>65</v>
      </c>
      <c r="C42" s="17" t="s">
        <v>66</v>
      </c>
      <c r="D42" s="17" t="s">
        <v>67</v>
      </c>
    </row>
    <row r="43" customFormat="false" ht="15" hidden="false" customHeight="false" outlineLevel="0" collapsed="false">
      <c r="A43" s="17" t="s">
        <v>68</v>
      </c>
      <c r="B43" s="17" t="s">
        <v>69</v>
      </c>
      <c r="C43" s="17" t="s">
        <v>70</v>
      </c>
      <c r="D43" s="17" t="s">
        <v>71</v>
      </c>
    </row>
    <row r="44" customFormat="false" ht="15" hidden="false" customHeight="false" outlineLevel="0" collapsed="false">
      <c r="A44" s="17" t="s">
        <v>72</v>
      </c>
      <c r="B44" s="17" t="s">
        <v>73</v>
      </c>
      <c r="C44" s="17" t="s">
        <v>74</v>
      </c>
      <c r="D44" s="17" t="s">
        <v>75</v>
      </c>
    </row>
    <row r="45" customFormat="false" ht="15" hidden="false" customHeight="false" outlineLevel="0" collapsed="false">
      <c r="A45" s="17" t="s">
        <v>76</v>
      </c>
      <c r="B45" s="17" t="s">
        <v>77</v>
      </c>
      <c r="C45" s="17" t="s">
        <v>78</v>
      </c>
      <c r="D45" s="17" t="s">
        <v>79</v>
      </c>
    </row>
    <row r="46" customFormat="false" ht="15" hidden="false" customHeight="false" outlineLevel="0" collapsed="false">
      <c r="A46" s="17" t="s">
        <v>80</v>
      </c>
      <c r="B46" s="17" t="s">
        <v>81</v>
      </c>
      <c r="C46" s="17" t="s">
        <v>82</v>
      </c>
      <c r="D46" s="17" t="s">
        <v>83</v>
      </c>
    </row>
    <row r="47" customFormat="false" ht="15" hidden="false" customHeight="false" outlineLevel="0" collapsed="false">
      <c r="A47" s="17" t="s">
        <v>84</v>
      </c>
      <c r="B47" s="17" t="s">
        <v>85</v>
      </c>
      <c r="C47" s="17" t="s">
        <v>86</v>
      </c>
      <c r="D47" s="17" t="s">
        <v>87</v>
      </c>
    </row>
  </sheetData>
  <sheetProtection sheet="true" objects="true" scenarios="true"/>
  <mergeCells count="24">
    <mergeCell ref="A1:D1"/>
    <mergeCell ref="A2:D2"/>
    <mergeCell ref="A5:D5"/>
    <mergeCell ref="A16:D16"/>
    <mergeCell ref="B17:D17"/>
    <mergeCell ref="B18:D18"/>
    <mergeCell ref="B19:D19"/>
    <mergeCell ref="B20:D20"/>
    <mergeCell ref="B21:D21"/>
    <mergeCell ref="A23:D23"/>
    <mergeCell ref="B24:D24"/>
    <mergeCell ref="B25:D25"/>
    <mergeCell ref="B26:D26"/>
    <mergeCell ref="B27:D27"/>
    <mergeCell ref="B28:D28"/>
    <mergeCell ref="B29:D29"/>
    <mergeCell ref="B30:D30"/>
    <mergeCell ref="A32:D32"/>
    <mergeCell ref="C33:D33"/>
    <mergeCell ref="C34:D34"/>
    <mergeCell ref="C35:D35"/>
    <mergeCell ref="C36:D36"/>
    <mergeCell ref="A37:D37"/>
    <mergeCell ref="A39:D39"/>
  </mergeCells>
  <printOptions headings="false" gridLines="false" gridLinesSet="true" horizontalCentered="true" verticalCentered="false"/>
  <pageMargins left="0.4" right="0.4" top="0.5" bottom="0.5" header="0.5" footer="0.5"/>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X66"/>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24609375" defaultRowHeight="15" zeroHeight="false" outlineLevelRow="0" outlineLevelCol="0"/>
  <cols>
    <col collapsed="false" customWidth="true" hidden="false" outlineLevel="0" max="1" min="1" style="1" width="20.81"/>
    <col collapsed="false" customWidth="true" hidden="false" outlineLevel="0" max="2" min="2" style="1" width="8.51"/>
    <col collapsed="false" customWidth="true" hidden="false" outlineLevel="0" max="3" min="3" style="1" width="9.46"/>
    <col collapsed="false" customWidth="true" hidden="false" outlineLevel="0" max="4" min="4" style="1" width="6.22"/>
    <col collapsed="false" customWidth="true" hidden="false" outlineLevel="0" max="5" min="5" style="1" width="7.57"/>
    <col collapsed="false" customWidth="true" hidden="false" outlineLevel="0" max="6" min="6" style="1" width="6.62"/>
    <col collapsed="false" customWidth="true" hidden="false" outlineLevel="0" max="7" min="7" style="1" width="8.51"/>
    <col collapsed="false" customWidth="true" hidden="false" outlineLevel="0" max="17" min="8" style="1" width="6.62"/>
    <col collapsed="false" customWidth="true" hidden="false" outlineLevel="0" max="19" min="18" style="1" width="5.27"/>
    <col collapsed="false" customWidth="true" hidden="false" outlineLevel="0" max="22" min="20" style="1" width="7.57"/>
    <col collapsed="false" customWidth="true" hidden="false" outlineLevel="0" max="23" min="23" style="1" width="7.97"/>
    <col collapsed="false" customWidth="true" hidden="false" outlineLevel="0" max="24" min="24" style="1" width="10"/>
    <col collapsed="false" customWidth="false" hidden="false" outlineLevel="0" max="16384" min="25" style="1" width="8.24"/>
  </cols>
  <sheetData>
    <row r="1" customFormat="false" ht="30" hidden="false" customHeight="true" outlineLevel="0" collapsed="false">
      <c r="A1" s="2" t="s">
        <v>88</v>
      </c>
      <c r="B1" s="2"/>
      <c r="C1" s="2"/>
      <c r="D1" s="2"/>
      <c r="E1" s="2"/>
      <c r="F1" s="2"/>
      <c r="G1" s="2"/>
      <c r="H1" s="2"/>
      <c r="I1" s="2"/>
      <c r="J1" s="2"/>
      <c r="K1" s="2"/>
      <c r="L1" s="2"/>
      <c r="M1" s="2"/>
      <c r="N1" s="2"/>
      <c r="O1" s="2"/>
      <c r="P1" s="2"/>
      <c r="Q1" s="2"/>
      <c r="R1" s="2"/>
      <c r="S1" s="2"/>
      <c r="T1" s="2"/>
      <c r="U1" s="2"/>
      <c r="V1" s="2"/>
      <c r="W1" s="2"/>
      <c r="X1" s="2"/>
    </row>
    <row r="2" customFormat="false" ht="43.5" hidden="false" customHeight="true" outlineLevel="0" collapsed="false">
      <c r="A2" s="3" t="s">
        <v>89</v>
      </c>
      <c r="B2" s="3"/>
      <c r="C2" s="3"/>
      <c r="D2" s="3"/>
      <c r="E2" s="3"/>
      <c r="F2" s="3"/>
      <c r="G2" s="3"/>
      <c r="H2" s="3"/>
      <c r="I2" s="3"/>
      <c r="J2" s="3"/>
      <c r="K2" s="3"/>
      <c r="L2" s="3"/>
      <c r="M2" s="3"/>
      <c r="N2" s="3"/>
      <c r="O2" s="3"/>
      <c r="P2" s="3"/>
      <c r="Q2" s="3"/>
      <c r="R2" s="3"/>
      <c r="S2" s="3"/>
      <c r="T2" s="3"/>
      <c r="U2" s="3"/>
      <c r="V2" s="3"/>
      <c r="W2" s="3"/>
      <c r="X2" s="3"/>
    </row>
    <row r="3" customFormat="false" ht="13.8" hidden="false" customHeight="false" outlineLevel="0" collapsed="false"/>
    <row r="4" customFormat="false" ht="18" hidden="false" customHeight="true" outlineLevel="0" collapsed="false">
      <c r="A4" s="3" t="s">
        <v>90</v>
      </c>
      <c r="B4" s="3"/>
      <c r="C4" s="3"/>
      <c r="D4" s="3"/>
      <c r="E4" s="3"/>
      <c r="F4" s="3"/>
      <c r="G4" s="3"/>
      <c r="H4" s="3"/>
      <c r="I4" s="3"/>
      <c r="J4" s="3"/>
      <c r="K4" s="3"/>
      <c r="L4" s="3"/>
      <c r="M4" s="3"/>
      <c r="N4" s="3"/>
      <c r="O4" s="3"/>
      <c r="P4" s="3"/>
      <c r="Q4" s="3"/>
      <c r="R4" s="3"/>
      <c r="S4" s="3"/>
      <c r="T4" s="3"/>
      <c r="U4" s="3"/>
      <c r="V4" s="3"/>
      <c r="W4" s="3"/>
      <c r="X4" s="3"/>
    </row>
    <row r="5" customFormat="false" ht="15" hidden="false" customHeight="true" outlineLevel="0" collapsed="false">
      <c r="A5" s="18" t="s">
        <v>91</v>
      </c>
      <c r="B5" s="15" t="s">
        <v>56</v>
      </c>
      <c r="C5" s="15"/>
      <c r="D5" s="15"/>
      <c r="E5" s="18" t="s">
        <v>92</v>
      </c>
      <c r="F5" s="19" t="n">
        <f aca="true">TODAY()</f>
        <v>46321</v>
      </c>
      <c r="G5" s="19"/>
      <c r="H5" s="20" t="s">
        <v>93</v>
      </c>
      <c r="I5" s="20"/>
      <c r="J5" s="20"/>
      <c r="K5" s="20"/>
      <c r="L5" s="20"/>
      <c r="M5" s="20"/>
      <c r="N5" s="20"/>
      <c r="O5" s="20"/>
    </row>
    <row r="6" customFormat="false" ht="13.8" hidden="false" customHeight="false" outlineLevel="0" collapsed="false"/>
    <row r="7" customFormat="false" ht="19.5" hidden="false" customHeight="true" outlineLevel="0" collapsed="false">
      <c r="A7" s="21" t="s">
        <v>7</v>
      </c>
      <c r="B7" s="21" t="s">
        <v>10</v>
      </c>
      <c r="C7" s="21" t="s">
        <v>13</v>
      </c>
      <c r="D7" s="21" t="s">
        <v>16</v>
      </c>
      <c r="E7" s="21" t="s">
        <v>94</v>
      </c>
      <c r="F7" s="21" t="s">
        <v>95</v>
      </c>
      <c r="G7" s="21" t="s">
        <v>96</v>
      </c>
      <c r="H7" s="16" t="s">
        <v>97</v>
      </c>
      <c r="I7" s="16"/>
      <c r="J7" s="16"/>
      <c r="K7" s="16"/>
      <c r="L7" s="16"/>
      <c r="M7" s="16"/>
      <c r="N7" s="16"/>
      <c r="O7" s="16"/>
      <c r="P7" s="16"/>
      <c r="Q7" s="16"/>
      <c r="R7" s="16" t="s">
        <v>98</v>
      </c>
      <c r="S7" s="16"/>
      <c r="T7" s="16"/>
      <c r="U7" s="16"/>
      <c r="V7" s="16"/>
      <c r="W7" s="16"/>
      <c r="X7" s="16"/>
    </row>
    <row r="8" customFormat="false" ht="33.75" hidden="false" customHeight="true" outlineLevel="0" collapsed="false">
      <c r="A8" s="21"/>
      <c r="B8" s="21"/>
      <c r="C8" s="21"/>
      <c r="D8" s="21"/>
      <c r="E8" s="21"/>
      <c r="F8" s="21"/>
      <c r="G8" s="21"/>
      <c r="H8" s="22" t="s">
        <v>99</v>
      </c>
      <c r="I8" s="22" t="s">
        <v>100</v>
      </c>
      <c r="J8" s="22" t="s">
        <v>101</v>
      </c>
      <c r="K8" s="22" t="s">
        <v>102</v>
      </c>
      <c r="L8" s="22" t="s">
        <v>103</v>
      </c>
      <c r="M8" s="22" t="s">
        <v>104</v>
      </c>
      <c r="N8" s="22" t="s">
        <v>105</v>
      </c>
      <c r="O8" s="22" t="s">
        <v>106</v>
      </c>
      <c r="P8" s="22" t="s">
        <v>107</v>
      </c>
      <c r="Q8" s="22" t="s">
        <v>108</v>
      </c>
      <c r="R8" s="5" t="s">
        <v>109</v>
      </c>
      <c r="S8" s="5" t="s">
        <v>110</v>
      </c>
      <c r="T8" s="5" t="s">
        <v>111</v>
      </c>
      <c r="U8" s="5" t="s">
        <v>112</v>
      </c>
      <c r="V8" s="5" t="s">
        <v>113</v>
      </c>
      <c r="W8" s="5" t="s">
        <v>114</v>
      </c>
      <c r="X8" s="23" t="s">
        <v>115</v>
      </c>
    </row>
    <row r="9" customFormat="false" ht="18.75" hidden="false" customHeight="true" outlineLevel="0" collapsed="false">
      <c r="A9" s="24" t="s">
        <v>116</v>
      </c>
      <c r="B9" s="25" t="n">
        <v>46428</v>
      </c>
      <c r="C9" s="26" t="s">
        <v>14</v>
      </c>
      <c r="D9" s="27" t="n">
        <v>150</v>
      </c>
      <c r="E9" s="28" t="n">
        <v>0.75</v>
      </c>
      <c r="F9" s="27" t="n">
        <v>6</v>
      </c>
      <c r="G9" s="29" t="n">
        <v>46371</v>
      </c>
      <c r="H9" s="27" t="n">
        <v>118</v>
      </c>
      <c r="I9" s="27" t="n">
        <v>102</v>
      </c>
      <c r="J9" s="27" t="n">
        <v>95</v>
      </c>
      <c r="K9" s="27"/>
      <c r="L9" s="27"/>
      <c r="M9" s="27"/>
      <c r="N9" s="27"/>
      <c r="O9" s="27"/>
      <c r="P9" s="27"/>
      <c r="Q9" s="27"/>
      <c r="R9" s="30" t="n">
        <f aca="false">IF(COUNT(H9:Q9)=0,"",COUNT(H9:Q9))</f>
        <v>3</v>
      </c>
      <c r="S9" s="30" t="n">
        <f aca="false">IF(F9="","",MAX(0,F9-COUNT(H9:Q9)))</f>
        <v>3</v>
      </c>
      <c r="T9" s="31" t="n">
        <f aca="false">IF(OR(D9="",COUNT(H9:Q9)=0),"",IFERROR(INDEX(H9:Q9,MATCH(TRUE(),INDEX(ISNUMBER(H9:Q9),0),0)),"")/D9)</f>
        <v>0.786666666666667</v>
      </c>
      <c r="U9" s="31" t="n">
        <f aca="false">IF(OR(D9="",COUNT(H9:Q9)=0),"",AVERAGE(H9:Q9)/D9)</f>
        <v>0.7</v>
      </c>
      <c r="V9" s="31" t="n">
        <f aca="false">IF(OR(D9="",COUNT(H9:Q9)=0),"",MAX(H9:Q9)/D9)</f>
        <v>0.786666666666667</v>
      </c>
      <c r="W9" s="32" t="n">
        <f aca="false">IF(OR(E9="",U9=""),"",U9-E9)</f>
        <v>-0.05</v>
      </c>
      <c r="X9" s="33" t="n">
        <f aca="false">IF(OR(F9="",G9=""),"",IF(S9=0,"完了",IF(G9&lt;=$F$5,"期限超過",ROUND(S9/((G9-$F$5)/7),1))))</f>
        <v>0.4</v>
      </c>
    </row>
    <row r="10" customFormat="false" ht="18.75" hidden="false" customHeight="true" outlineLevel="0" collapsed="false">
      <c r="A10" s="24"/>
      <c r="B10" s="24"/>
      <c r="C10" s="34" t="s">
        <v>117</v>
      </c>
      <c r="D10" s="8" t="n">
        <v>150</v>
      </c>
      <c r="E10" s="35" t="n">
        <v>0.7</v>
      </c>
      <c r="F10" s="8" t="n">
        <v>6</v>
      </c>
      <c r="G10" s="36" t="n">
        <v>46376</v>
      </c>
      <c r="H10" s="10" t="n">
        <v>96</v>
      </c>
      <c r="I10" s="10" t="n">
        <v>110</v>
      </c>
      <c r="J10" s="10"/>
      <c r="K10" s="10"/>
      <c r="L10" s="10"/>
      <c r="M10" s="10"/>
      <c r="N10" s="10"/>
      <c r="O10" s="10"/>
      <c r="P10" s="10"/>
      <c r="Q10" s="10"/>
      <c r="R10" s="15" t="n">
        <f aca="false">IF(COUNT(H10:Q10)=0,"",COUNT(H10:Q10))</f>
        <v>2</v>
      </c>
      <c r="S10" s="15" t="n">
        <f aca="false">IF(F10="","",MAX(0,F10-COUNT(H10:Q10)))</f>
        <v>4</v>
      </c>
      <c r="T10" s="37" t="n">
        <f aca="false">IF(OR(D10="",COUNT(H10:Q10)=0),"",IFERROR(INDEX(H10:Q10,MATCH(TRUE(),INDEX(ISNUMBER(H10:Q10),0),0)),"")/D10)</f>
        <v>0.64</v>
      </c>
      <c r="U10" s="37" t="n">
        <f aca="false">IF(OR(D10="",COUNT(H10:Q10)=0),"",AVERAGE(H10:Q10)/D10)</f>
        <v>0.686666666666667</v>
      </c>
      <c r="V10" s="37" t="n">
        <f aca="false">IF(OR(D10="",COUNT(H10:Q10)=0),"",MAX(H10:Q10)/D10)</f>
        <v>0.733333333333333</v>
      </c>
      <c r="W10" s="38" t="n">
        <f aca="false">IF(OR(E10="",U10=""),"",U10-E10)</f>
        <v>-0.0133333333333333</v>
      </c>
      <c r="X10" s="39" t="n">
        <f aca="false">IF(OR(F10="",G10=""),"",IF(S10=0,"完了",IF(G10&lt;=$F$5,"期限超過",ROUND(S10/((G10-$F$5)/7),1))))</f>
        <v>0.5</v>
      </c>
    </row>
    <row r="11" customFormat="false" ht="18.75" hidden="false" customHeight="true" outlineLevel="0" collapsed="false">
      <c r="A11" s="24"/>
      <c r="B11" s="24"/>
      <c r="C11" s="34" t="s">
        <v>118</v>
      </c>
      <c r="D11" s="8" t="n">
        <v>100</v>
      </c>
      <c r="E11" s="35" t="n">
        <v>0.75</v>
      </c>
      <c r="F11" s="8" t="n">
        <v>6</v>
      </c>
      <c r="G11" s="36" t="n">
        <v>46376</v>
      </c>
      <c r="H11" s="10" t="n">
        <v>78</v>
      </c>
      <c r="I11" s="10" t="n">
        <v>70</v>
      </c>
      <c r="J11" s="10"/>
      <c r="K11" s="10"/>
      <c r="L11" s="10"/>
      <c r="M11" s="10"/>
      <c r="N11" s="10"/>
      <c r="O11" s="10"/>
      <c r="P11" s="10"/>
      <c r="Q11" s="10"/>
      <c r="R11" s="15" t="n">
        <f aca="false">IF(COUNT(H11:Q11)=0,"",COUNT(H11:Q11))</f>
        <v>2</v>
      </c>
      <c r="S11" s="15" t="n">
        <f aca="false">IF(F11="","",MAX(0,F11-COUNT(H11:Q11)))</f>
        <v>4</v>
      </c>
      <c r="T11" s="37" t="n">
        <f aca="false">IF(OR(D11="",COUNT(H11:Q11)=0),"",IFERROR(INDEX(H11:Q11,MATCH(TRUE(),INDEX(ISNUMBER(H11:Q11),0),0)),"")/D11)</f>
        <v>0.78</v>
      </c>
      <c r="U11" s="37" t="n">
        <f aca="false">IF(OR(D11="",COUNT(H11:Q11)=0),"",AVERAGE(H11:Q11)/D11)</f>
        <v>0.74</v>
      </c>
      <c r="V11" s="37" t="n">
        <f aca="false">IF(OR(D11="",COUNT(H11:Q11)=0),"",MAX(H11:Q11)/D11)</f>
        <v>0.78</v>
      </c>
      <c r="W11" s="38" t="n">
        <f aca="false">IF(OR(E11="",U11=""),"",U11-E11)</f>
        <v>-0.01</v>
      </c>
      <c r="X11" s="39" t="n">
        <f aca="false">IF(OR(F11="",G11=""),"",IF(S11=0,"完了",IF(G11&lt;=$F$5,"期限超過",ROUND(S11/((G11-$F$5)/7),1))))</f>
        <v>0.5</v>
      </c>
    </row>
    <row r="12" customFormat="false" ht="18.75" hidden="false" customHeight="true" outlineLevel="0" collapsed="false">
      <c r="A12" s="24"/>
      <c r="B12" s="24"/>
      <c r="C12" s="34"/>
      <c r="D12" s="8"/>
      <c r="E12" s="35"/>
      <c r="F12" s="8"/>
      <c r="G12" s="36"/>
      <c r="H12" s="10"/>
      <c r="I12" s="10"/>
      <c r="J12" s="10"/>
      <c r="K12" s="10"/>
      <c r="L12" s="10"/>
      <c r="M12" s="10"/>
      <c r="N12" s="10"/>
      <c r="O12" s="10"/>
      <c r="P12" s="10"/>
      <c r="Q12" s="10"/>
      <c r="R12" s="15" t="str">
        <f aca="false">IF(COUNT(H12:Q12)=0,"",COUNT(H12:Q12))</f>
        <v/>
      </c>
      <c r="S12" s="15" t="str">
        <f aca="false">IF(F12="","",MAX(0,F12-COUNT(H12:Q12)))</f>
        <v/>
      </c>
      <c r="T12" s="37" t="str">
        <f aca="false">IF(OR(D12="",COUNT(H12:Q12)=0),"",IFERROR(INDEX(H12:Q12,MATCH(TRUE(),INDEX(ISNUMBER(H12:Q12),0),0)),"")/D12)</f>
        <v/>
      </c>
      <c r="U12" s="37" t="str">
        <f aca="false">IF(OR(D12="",COUNT(H12:Q12)=0),"",AVERAGE(H12:Q12)/D12)</f>
        <v/>
      </c>
      <c r="V12" s="37" t="str">
        <f aca="false">IF(OR(D12="",COUNT(H12:Q12)=0),"",MAX(H12:Q12)/D12)</f>
        <v/>
      </c>
      <c r="W12" s="38" t="str">
        <f aca="false">IF(OR(E12="",U12=""),"",U12-E12)</f>
        <v/>
      </c>
      <c r="X12" s="39" t="str">
        <f aca="false">IF(OR(F12="",G12=""),"",IF(S12=0,"完了",IF(G12&lt;=$F$5,"期限超過",ROUND(S12/((G12-$F$5)/7),1))))</f>
        <v/>
      </c>
    </row>
    <row r="13" customFormat="false" ht="18.75" hidden="false" customHeight="true" outlineLevel="0" collapsed="false">
      <c r="A13" s="24"/>
      <c r="B13" s="24"/>
      <c r="C13" s="40" t="s">
        <v>119</v>
      </c>
      <c r="D13" s="15" t="n">
        <f aca="false">IF(SUM(D9:D12)=0,"",SUM(D9:D12))</f>
        <v>400</v>
      </c>
      <c r="E13" s="35" t="n">
        <v>0.7</v>
      </c>
      <c r="F13" s="41"/>
      <c r="G13" s="41"/>
      <c r="H13" s="37" t="n">
        <f aca="false">IF(OR(D13="",COUNT(H9:H12)&lt;COUNT($D$9:$D$12)),"",SUM(H9:H12)/D13)</f>
        <v>0.73</v>
      </c>
      <c r="I13" s="37" t="n">
        <f aca="false">IF(OR(D13="",COUNT(I9:I12)&lt;COUNT($D$9:$D$12)),"",SUM(I9:I12)/D13)</f>
        <v>0.705</v>
      </c>
      <c r="J13" s="37" t="str">
        <f aca="false">IF(OR(D13="",COUNT(J9:J12)&lt;COUNT($D$9:$D$12)),"",SUM(J9:J12)/D13)</f>
        <v/>
      </c>
      <c r="K13" s="37" t="str">
        <f aca="false">IF(OR(D13="",COUNT(K9:K12)&lt;COUNT($D$9:$D$12)),"",SUM(K9:K12)/D13)</f>
        <v/>
      </c>
      <c r="L13" s="37" t="str">
        <f aca="false">IF(OR(D13="",COUNT(L9:L12)&lt;COUNT($D$9:$D$12)),"",SUM(L9:L12)/D13)</f>
        <v/>
      </c>
      <c r="M13" s="37" t="str">
        <f aca="false">IF(OR(D13="",COUNT(M9:M12)&lt;COUNT($D$9:$D$12)),"",SUM(M9:M12)/D13)</f>
        <v/>
      </c>
      <c r="N13" s="37" t="str">
        <f aca="false">IF(OR(D13="",COUNT(N9:N12)&lt;COUNT($D$9:$D$12)),"",SUM(N9:N12)/D13)</f>
        <v/>
      </c>
      <c r="O13" s="37" t="str">
        <f aca="false">IF(OR(D13="",COUNT(O9:O12)&lt;COUNT($D$9:$D$12)),"",SUM(O9:O12)/D13)</f>
        <v/>
      </c>
      <c r="P13" s="37" t="str">
        <f aca="false">IF(OR(D13="",COUNT(P9:P12)&lt;COUNT($D$9:$D$12)),"",SUM(P9:P12)/D13)</f>
        <v/>
      </c>
      <c r="Q13" s="37" t="str">
        <f aca="false">IF(OR(D13="",COUNT(Q9:Q12)&lt;COUNT($D$9:$D$12)),"",SUM(Q9:Q12)/D13)</f>
        <v/>
      </c>
      <c r="R13" s="15" t="n">
        <f aca="false">IF(COUNT(H13:Q13)=0,"",COUNT(H13:Q13))</f>
        <v>2</v>
      </c>
      <c r="S13" s="41"/>
      <c r="T13" s="37" t="n">
        <f aca="false">IF(COUNT(H13:Q13)=0,"",IFERROR(INDEX(H13:Q13,MATCH(TRUE(),INDEX(ISNUMBER(H13:Q13),0),0)),""))</f>
        <v>0.73</v>
      </c>
      <c r="U13" s="37" t="n">
        <f aca="false">IF(COUNT(H13:Q13)=0,"",AVERAGE(H13:Q13))</f>
        <v>0.7175</v>
      </c>
      <c r="V13" s="37" t="n">
        <f aca="false">IF(COUNT(H13:Q13)=0,"",MAX(H13:Q13))</f>
        <v>0.73</v>
      </c>
      <c r="W13" s="38" t="n">
        <f aca="false">IF(OR(E13="",U13=""),"",U13-E13)</f>
        <v>0.0175000000000001</v>
      </c>
      <c r="X13" s="41"/>
    </row>
    <row r="14" customFormat="false" ht="18.75" hidden="false" customHeight="true" outlineLevel="0" collapsed="false">
      <c r="A14" s="42"/>
      <c r="B14" s="43"/>
      <c r="C14" s="44"/>
      <c r="D14" s="45"/>
      <c r="E14" s="46"/>
      <c r="F14" s="45"/>
      <c r="G14" s="47"/>
      <c r="H14" s="45"/>
      <c r="I14" s="45"/>
      <c r="J14" s="45"/>
      <c r="K14" s="45"/>
      <c r="L14" s="45"/>
      <c r="M14" s="45"/>
      <c r="N14" s="45"/>
      <c r="O14" s="45"/>
      <c r="P14" s="45"/>
      <c r="Q14" s="45"/>
      <c r="R14" s="30">
        <f aca="false">IF(COUNT(H14:Q14)=0,"",COUNT(H14:Q14))</f>
      </c>
      <c r="S14" s="30">
        <f aca="false">IF(F14="","",MAX(0,F14-COUNT(H14:Q14)))</f>
      </c>
      <c r="T14" s="31">
        <f aca="false">IF(OR(D14="",COUNT(H14:Q14)=0),"",IFERROR(INDEX(H14:Q14,MATCH(TRUE(),INDEX(ISNUMBER(H14:Q14),0),0)),"")/D14)</f>
      </c>
      <c r="U14" s="31">
        <f aca="false">IF(OR(D14="",COUNT(H14:Q14)=0),"",AVERAGE(H14:Q14)/D14)</f>
      </c>
      <c r="V14" s="31">
        <f aca="false">IF(OR(D14="",COUNT(H14:Q14)=0),"",MAX(H14:Q14)/D14)</f>
      </c>
      <c r="W14" s="32">
        <f aca="false">IF(OR(E14="",U14=""),"",U14-E14)</f>
      </c>
      <c r="X14" s="33">
        <f aca="false">IF(OR(F14="",G14=""),"",IF(S14=0,"完了",IF(G14&lt;=$F$5,"期限超過",ROUND(S14/((G14-$F$5)/7),1))))</f>
      </c>
    </row>
    <row r="15" customFormat="false" ht="18.75" hidden="false" customHeight="true" outlineLevel="0" collapsed="false">
      <c r="A15" s="42"/>
      <c r="B15" s="42"/>
      <c r="C15" s="48"/>
      <c r="D15" s="49"/>
      <c r="E15" s="50"/>
      <c r="F15" s="49"/>
      <c r="G15" s="51"/>
      <c r="H15" s="49"/>
      <c r="I15" s="49"/>
      <c r="J15" s="49"/>
      <c r="K15" s="49"/>
      <c r="L15" s="49"/>
      <c r="M15" s="49"/>
      <c r="N15" s="49"/>
      <c r="O15" s="49"/>
      <c r="P15" s="49"/>
      <c r="Q15" s="49"/>
      <c r="R15" s="15">
        <f aca="false">IF(COUNT(H15:Q15)=0,"",COUNT(H15:Q15))</f>
      </c>
      <c r="S15" s="15">
        <f aca="false">IF(F15="","",MAX(0,F15-COUNT(H15:Q15)))</f>
      </c>
      <c r="T15" s="37">
        <f aca="false">IF(OR(D15="",COUNT(H15:Q15)=0),"",IFERROR(INDEX(H15:Q15,MATCH(TRUE(),INDEX(ISNUMBER(H15:Q15),0),0)),"")/D15)</f>
      </c>
      <c r="U15" s="37">
        <f aca="false">IF(OR(D15="",COUNT(H15:Q15)=0),"",AVERAGE(H15:Q15)/D15)</f>
      </c>
      <c r="V15" s="37">
        <f aca="false">IF(OR(D15="",COUNT(H15:Q15)=0),"",MAX(H15:Q15)/D15)</f>
      </c>
      <c r="W15" s="38">
        <f aca="false">IF(OR(E15="",U15=""),"",U15-E15)</f>
      </c>
      <c r="X15" s="39">
        <f aca="false">IF(OR(F15="",G15=""),"",IF(S15=0,"完了",IF(G15&lt;=$F$5,"期限超過",ROUND(S15/((G15-$F$5)/7),1))))</f>
      </c>
    </row>
    <row r="16" customFormat="false" ht="18.75" hidden="false" customHeight="true" outlineLevel="0" collapsed="false">
      <c r="A16" s="42"/>
      <c r="B16" s="42"/>
      <c r="C16" s="48"/>
      <c r="D16" s="49"/>
      <c r="E16" s="50"/>
      <c r="F16" s="49"/>
      <c r="G16" s="51"/>
      <c r="H16" s="49"/>
      <c r="I16" s="49"/>
      <c r="J16" s="49"/>
      <c r="K16" s="49"/>
      <c r="L16" s="49"/>
      <c r="M16" s="49"/>
      <c r="N16" s="49"/>
      <c r="O16" s="49"/>
      <c r="P16" s="49"/>
      <c r="Q16" s="49"/>
      <c r="R16" s="15">
        <f aca="false">IF(COUNT(H16:Q16)=0,"",COUNT(H16:Q16))</f>
      </c>
      <c r="S16" s="15">
        <f aca="false">IF(F16="","",MAX(0,F16-COUNT(H16:Q16)))</f>
      </c>
      <c r="T16" s="37">
        <f aca="false">IF(OR(D16="",COUNT(H16:Q16)=0),"",IFERROR(INDEX(H16:Q16,MATCH(TRUE(),INDEX(ISNUMBER(H16:Q16),0),0)),"")/D16)</f>
      </c>
      <c r="U16" s="37">
        <f aca="false">IF(OR(D16="",COUNT(H16:Q16)=0),"",AVERAGE(H16:Q16)/D16)</f>
      </c>
      <c r="V16" s="37">
        <f aca="false">IF(OR(D16="",COUNT(H16:Q16)=0),"",MAX(H16:Q16)/D16)</f>
      </c>
      <c r="W16" s="38">
        <f aca="false">IF(OR(E16="",U16=""),"",U16-E16)</f>
      </c>
      <c r="X16" s="39">
        <f aca="false">IF(OR(F16="",G16=""),"",IF(S16=0,"完了",IF(G16&lt;=$F$5,"期限超過",ROUND(S16/((G16-$F$5)/7),1))))</f>
      </c>
    </row>
    <row r="17" customFormat="false" ht="18.75" hidden="false" customHeight="true" outlineLevel="0" collapsed="false">
      <c r="A17" s="42"/>
      <c r="B17" s="42"/>
      <c r="C17" s="48"/>
      <c r="D17" s="49"/>
      <c r="E17" s="50"/>
      <c r="F17" s="49"/>
      <c r="G17" s="51"/>
      <c r="H17" s="49"/>
      <c r="I17" s="49"/>
      <c r="J17" s="49"/>
      <c r="K17" s="49"/>
      <c r="L17" s="49"/>
      <c r="M17" s="49"/>
      <c r="N17" s="49"/>
      <c r="O17" s="49"/>
      <c r="P17" s="49"/>
      <c r="Q17" s="49"/>
      <c r="R17" s="15">
        <f aca="false">IF(COUNT(H17:Q17)=0,"",COUNT(H17:Q17))</f>
      </c>
      <c r="S17" s="15">
        <f aca="false">IF(F17="","",MAX(0,F17-COUNT(H17:Q17)))</f>
      </c>
      <c r="T17" s="37">
        <f aca="false">IF(OR(D17="",COUNT(H17:Q17)=0),"",IFERROR(INDEX(H17:Q17,MATCH(TRUE(),INDEX(ISNUMBER(H17:Q17),0),0)),"")/D17)</f>
      </c>
      <c r="U17" s="37">
        <f aca="false">IF(OR(D17="",COUNT(H17:Q17)=0),"",AVERAGE(H17:Q17)/D17)</f>
      </c>
      <c r="V17" s="37">
        <f aca="false">IF(OR(D17="",COUNT(H17:Q17)=0),"",MAX(H17:Q17)/D17)</f>
      </c>
      <c r="W17" s="38">
        <f aca="false">IF(OR(E17="",U17=""),"",U17-E17)</f>
      </c>
      <c r="X17" s="39">
        <f aca="false">IF(OR(F17="",G17=""),"",IF(S17=0,"完了",IF(G17&lt;=$F$5,"期限超過",ROUND(S17/((G17-$F$5)/7),1))))</f>
      </c>
    </row>
    <row r="18" customFormat="false" ht="18.75" hidden="false" customHeight="true" outlineLevel="0" collapsed="false">
      <c r="A18" s="42"/>
      <c r="B18" s="42"/>
      <c r="C18" s="40" t="s">
        <v>119</v>
      </c>
      <c r="D18" s="15">
        <f aca="false">IF(SUM(D14:D17)=0,"",SUM(D14:D17))</f>
      </c>
      <c r="E18" s="50"/>
      <c r="F18" s="41"/>
      <c r="G18" s="41"/>
      <c r="H18" s="37">
        <f aca="false">IF(OR(D18="",COUNT(H14:H17)&lt;COUNT($D$14:$D$17)),"",SUM(H14:H17)/D18)</f>
      </c>
      <c r="I18" s="37">
        <f aca="false">IF(OR(D18="",COUNT(I14:I17)&lt;COUNT($D$14:$D$17)),"",SUM(I14:I17)/D18)</f>
      </c>
      <c r="J18" s="37">
        <f aca="false">IF(OR(D18="",COUNT(J14:J17)&lt;COUNT($D$14:$D$17)),"",SUM(J14:J17)/D18)</f>
      </c>
      <c r="K18" s="37">
        <f aca="false">IF(OR(D18="",COUNT(K14:K17)&lt;COUNT($D$14:$D$17)),"",SUM(K14:K17)/D18)</f>
      </c>
      <c r="L18" s="37">
        <f aca="false">IF(OR(D18="",COUNT(L14:L17)&lt;COUNT($D$14:$D$17)),"",SUM(L14:L17)/D18)</f>
      </c>
      <c r="M18" s="37">
        <f aca="false">IF(OR(D18="",COUNT(M14:M17)&lt;COUNT($D$14:$D$17)),"",SUM(M14:M17)/D18)</f>
      </c>
      <c r="N18" s="37">
        <f aca="false">IF(OR(D18="",COUNT(N14:N17)&lt;COUNT($D$14:$D$17)),"",SUM(N14:N17)/D18)</f>
      </c>
      <c r="O18" s="37">
        <f aca="false">IF(OR(D18="",COUNT(O14:O17)&lt;COUNT($D$14:$D$17)),"",SUM(O14:O17)/D18)</f>
      </c>
      <c r="P18" s="37">
        <f aca="false">IF(OR(D18="",COUNT(P14:P17)&lt;COUNT($D$14:$D$17)),"",SUM(P14:P17)/D18)</f>
      </c>
      <c r="Q18" s="37">
        <f aca="false">IF(OR(D18="",COUNT(Q14:Q17)&lt;COUNT($D$14:$D$17)),"",SUM(Q14:Q17)/D18)</f>
      </c>
      <c r="R18" s="15">
        <f aca="false">IF(COUNT(H18:Q18)=0,"",COUNT(H18:Q18))</f>
      </c>
      <c r="S18" s="41"/>
      <c r="T18" s="37">
        <f aca="false">IF(COUNT(H18:Q18)=0,"",IFERROR(INDEX(H18:Q18,MATCH(TRUE(),INDEX(ISNUMBER(H18:Q18),0),0)),""))</f>
      </c>
      <c r="U18" s="37">
        <f aca="false">IF(COUNT(H18:Q18)=0,"",AVERAGE(H18:Q18))</f>
      </c>
      <c r="V18" s="37">
        <f aca="false">IF(COUNT(H18:Q18)=0,"",MAX(H18:Q18))</f>
      </c>
      <c r="W18" s="38">
        <f aca="false">IF(OR(E18="",U18=""),"",U18-E18)</f>
      </c>
      <c r="X18" s="41"/>
    </row>
    <row r="19" customFormat="false" ht="18.75" hidden="false" customHeight="true" outlineLevel="0" collapsed="false">
      <c r="A19" s="42"/>
      <c r="B19" s="43"/>
      <c r="C19" s="44"/>
      <c r="D19" s="45"/>
      <c r="E19" s="46"/>
      <c r="F19" s="45"/>
      <c r="G19" s="47"/>
      <c r="H19" s="45"/>
      <c r="I19" s="45"/>
      <c r="J19" s="45"/>
      <c r="K19" s="45"/>
      <c r="L19" s="45"/>
      <c r="M19" s="45"/>
      <c r="N19" s="45"/>
      <c r="O19" s="45"/>
      <c r="P19" s="45"/>
      <c r="Q19" s="45"/>
      <c r="R19" s="30">
        <f aca="false">IF(COUNT(H19:Q19)=0,"",COUNT(H19:Q19))</f>
      </c>
      <c r="S19" s="30">
        <f aca="false">IF(F19="","",MAX(0,F19-COUNT(H19:Q19)))</f>
      </c>
      <c r="T19" s="31">
        <f aca="false">IF(OR(D19="",COUNT(H19:Q19)=0),"",IFERROR(INDEX(H19:Q19,MATCH(TRUE(),INDEX(ISNUMBER(H19:Q19),0),0)),"")/D19)</f>
      </c>
      <c r="U19" s="31">
        <f aca="false">IF(OR(D19="",COUNT(H19:Q19)=0),"",AVERAGE(H19:Q19)/D19)</f>
      </c>
      <c r="V19" s="31">
        <f aca="false">IF(OR(D19="",COUNT(H19:Q19)=0),"",MAX(H19:Q19)/D19)</f>
      </c>
      <c r="W19" s="32">
        <f aca="false">IF(OR(E19="",U19=""),"",U19-E19)</f>
      </c>
      <c r="X19" s="33">
        <f aca="false">IF(OR(F19="",G19=""),"",IF(S19=0,"完了",IF(G19&lt;=$F$5,"期限超過",ROUND(S19/((G19-$F$5)/7),1))))</f>
      </c>
    </row>
    <row r="20" customFormat="false" ht="18.75" hidden="false" customHeight="true" outlineLevel="0" collapsed="false">
      <c r="A20" s="42"/>
      <c r="B20" s="42"/>
      <c r="C20" s="48"/>
      <c r="D20" s="49"/>
      <c r="E20" s="50"/>
      <c r="F20" s="49"/>
      <c r="G20" s="51"/>
      <c r="H20" s="49"/>
      <c r="I20" s="49"/>
      <c r="J20" s="49"/>
      <c r="K20" s="49"/>
      <c r="L20" s="49"/>
      <c r="M20" s="49"/>
      <c r="N20" s="49"/>
      <c r="O20" s="49"/>
      <c r="P20" s="49"/>
      <c r="Q20" s="49"/>
      <c r="R20" s="15">
        <f aca="false">IF(COUNT(H20:Q20)=0,"",COUNT(H20:Q20))</f>
      </c>
      <c r="S20" s="15">
        <f aca="false">IF(F20="","",MAX(0,F20-COUNT(H20:Q20)))</f>
      </c>
      <c r="T20" s="37">
        <f aca="false">IF(OR(D20="",COUNT(H20:Q20)=0),"",IFERROR(INDEX(H20:Q20,MATCH(TRUE(),INDEX(ISNUMBER(H20:Q20),0),0)),"")/D20)</f>
      </c>
      <c r="U20" s="37">
        <f aca="false">IF(OR(D20="",COUNT(H20:Q20)=0),"",AVERAGE(H20:Q20)/D20)</f>
      </c>
      <c r="V20" s="37">
        <f aca="false">IF(OR(D20="",COUNT(H20:Q20)=0),"",MAX(H20:Q20)/D20)</f>
      </c>
      <c r="W20" s="38">
        <f aca="false">IF(OR(E20="",U20=""),"",U20-E20)</f>
      </c>
      <c r="X20" s="39">
        <f aca="false">IF(OR(F20="",G20=""),"",IF(S20=0,"完了",IF(G20&lt;=$F$5,"期限超過",ROUND(S20/((G20-$F$5)/7),1))))</f>
      </c>
    </row>
    <row r="21" customFormat="false" ht="18.75" hidden="false" customHeight="true" outlineLevel="0" collapsed="false">
      <c r="A21" s="42"/>
      <c r="B21" s="42"/>
      <c r="C21" s="48"/>
      <c r="D21" s="49"/>
      <c r="E21" s="50"/>
      <c r="F21" s="49"/>
      <c r="G21" s="51"/>
      <c r="H21" s="49"/>
      <c r="I21" s="49"/>
      <c r="J21" s="49"/>
      <c r="K21" s="49"/>
      <c r="L21" s="49"/>
      <c r="M21" s="49"/>
      <c r="N21" s="49"/>
      <c r="O21" s="49"/>
      <c r="P21" s="49"/>
      <c r="Q21" s="49"/>
      <c r="R21" s="15">
        <f aca="false">IF(COUNT(H21:Q21)=0,"",COUNT(H21:Q21))</f>
      </c>
      <c r="S21" s="15">
        <f aca="false">IF(F21="","",MAX(0,F21-COUNT(H21:Q21)))</f>
      </c>
      <c r="T21" s="37">
        <f aca="false">IF(OR(D21="",COUNT(H21:Q21)=0),"",IFERROR(INDEX(H21:Q21,MATCH(TRUE(),INDEX(ISNUMBER(H21:Q21),0),0)),"")/D21)</f>
      </c>
      <c r="U21" s="37">
        <f aca="false">IF(OR(D21="",COUNT(H21:Q21)=0),"",AVERAGE(H21:Q21)/D21)</f>
      </c>
      <c r="V21" s="37">
        <f aca="false">IF(OR(D21="",COUNT(H21:Q21)=0),"",MAX(H21:Q21)/D21)</f>
      </c>
      <c r="W21" s="38">
        <f aca="false">IF(OR(E21="",U21=""),"",U21-E21)</f>
      </c>
      <c r="X21" s="39">
        <f aca="false">IF(OR(F21="",G21=""),"",IF(S21=0,"完了",IF(G21&lt;=$F$5,"期限超過",ROUND(S21/((G21-$F$5)/7),1))))</f>
      </c>
    </row>
    <row r="22" customFormat="false" ht="18.75" hidden="false" customHeight="true" outlineLevel="0" collapsed="false">
      <c r="A22" s="42"/>
      <c r="B22" s="42"/>
      <c r="C22" s="48"/>
      <c r="D22" s="49"/>
      <c r="E22" s="50"/>
      <c r="F22" s="49"/>
      <c r="G22" s="51"/>
      <c r="H22" s="49"/>
      <c r="I22" s="49"/>
      <c r="J22" s="49"/>
      <c r="K22" s="49"/>
      <c r="L22" s="49"/>
      <c r="M22" s="49"/>
      <c r="N22" s="49"/>
      <c r="O22" s="49"/>
      <c r="P22" s="49"/>
      <c r="Q22" s="49"/>
      <c r="R22" s="15">
        <f aca="false">IF(COUNT(H22:Q22)=0,"",COUNT(H22:Q22))</f>
      </c>
      <c r="S22" s="15">
        <f aca="false">IF(F22="","",MAX(0,F22-COUNT(H22:Q22)))</f>
      </c>
      <c r="T22" s="37">
        <f aca="false">IF(OR(D22="",COUNT(H22:Q22)=0),"",IFERROR(INDEX(H22:Q22,MATCH(TRUE(),INDEX(ISNUMBER(H22:Q22),0),0)),"")/D22)</f>
      </c>
      <c r="U22" s="37">
        <f aca="false">IF(OR(D22="",COUNT(H22:Q22)=0),"",AVERAGE(H22:Q22)/D22)</f>
      </c>
      <c r="V22" s="37">
        <f aca="false">IF(OR(D22="",COUNT(H22:Q22)=0),"",MAX(H22:Q22)/D22)</f>
      </c>
      <c r="W22" s="38">
        <f aca="false">IF(OR(E22="",U22=""),"",U22-E22)</f>
      </c>
      <c r="X22" s="39">
        <f aca="false">IF(OR(F22="",G22=""),"",IF(S22=0,"完了",IF(G22&lt;=$F$5,"期限超過",ROUND(S22/((G22-$F$5)/7),1))))</f>
      </c>
    </row>
    <row r="23" customFormat="false" ht="18.75" hidden="false" customHeight="true" outlineLevel="0" collapsed="false">
      <c r="A23" s="42"/>
      <c r="B23" s="42"/>
      <c r="C23" s="40" t="s">
        <v>119</v>
      </c>
      <c r="D23" s="15">
        <f aca="false">IF(SUM(D19:D22)=0,"",SUM(D19:D22))</f>
      </c>
      <c r="E23" s="50"/>
      <c r="F23" s="41"/>
      <c r="G23" s="41"/>
      <c r="H23" s="37">
        <f aca="false">IF(OR(D23="",COUNT(H19:H22)&lt;COUNT($D$19:$D$22)),"",SUM(H19:H22)/D23)</f>
      </c>
      <c r="I23" s="37">
        <f aca="false">IF(OR(D23="",COUNT(I19:I22)&lt;COUNT($D$19:$D$22)),"",SUM(I19:I22)/D23)</f>
      </c>
      <c r="J23" s="37">
        <f aca="false">IF(OR(D23="",COUNT(J19:J22)&lt;COUNT($D$19:$D$22)),"",SUM(J19:J22)/D23)</f>
      </c>
      <c r="K23" s="37">
        <f aca="false">IF(OR(D23="",COUNT(K19:K22)&lt;COUNT($D$19:$D$22)),"",SUM(K19:K22)/D23)</f>
      </c>
      <c r="L23" s="37">
        <f aca="false">IF(OR(D23="",COUNT(L19:L22)&lt;COUNT($D$19:$D$22)),"",SUM(L19:L22)/D23)</f>
      </c>
      <c r="M23" s="37">
        <f aca="false">IF(OR(D23="",COUNT(M19:M22)&lt;COUNT($D$19:$D$22)),"",SUM(M19:M22)/D23)</f>
      </c>
      <c r="N23" s="37">
        <f aca="false">IF(OR(D23="",COUNT(N19:N22)&lt;COUNT($D$19:$D$22)),"",SUM(N19:N22)/D23)</f>
      </c>
      <c r="O23" s="37">
        <f aca="false">IF(OR(D23="",COUNT(O19:O22)&lt;COUNT($D$19:$D$22)),"",SUM(O19:O22)/D23)</f>
      </c>
      <c r="P23" s="37">
        <f aca="false">IF(OR(D23="",COUNT(P19:P22)&lt;COUNT($D$19:$D$22)),"",SUM(P19:P22)/D23)</f>
      </c>
      <c r="Q23" s="37">
        <f aca="false">IF(OR(D23="",COUNT(Q19:Q22)&lt;COUNT($D$19:$D$22)),"",SUM(Q19:Q22)/D23)</f>
      </c>
      <c r="R23" s="15">
        <f aca="false">IF(COUNT(H23:Q23)=0,"",COUNT(H23:Q23))</f>
      </c>
      <c r="S23" s="41"/>
      <c r="T23" s="37">
        <f aca="false">IF(COUNT(H23:Q23)=0,"",IFERROR(INDEX(H23:Q23,MATCH(TRUE(),INDEX(ISNUMBER(H23:Q23),0),0)),""))</f>
      </c>
      <c r="U23" s="37">
        <f aca="false">IF(COUNT(H23:Q23)=0,"",AVERAGE(H23:Q23))</f>
      </c>
      <c r="V23" s="37">
        <f aca="false">IF(COUNT(H23:Q23)=0,"",MAX(H23:Q23))</f>
      </c>
      <c r="W23" s="38">
        <f aca="false">IF(OR(E23="",U23=""),"",U23-E23)</f>
      </c>
      <c r="X23" s="41"/>
    </row>
    <row r="24" customFormat="false" ht="18.75" hidden="false" customHeight="true" outlineLevel="0" collapsed="false">
      <c r="A24" s="42"/>
      <c r="B24" s="43"/>
      <c r="C24" s="44"/>
      <c r="D24" s="45"/>
      <c r="E24" s="46"/>
      <c r="F24" s="45"/>
      <c r="G24" s="47"/>
      <c r="H24" s="45"/>
      <c r="I24" s="45"/>
      <c r="J24" s="45"/>
      <c r="K24" s="45"/>
      <c r="L24" s="45"/>
      <c r="M24" s="45"/>
      <c r="N24" s="45"/>
      <c r="O24" s="45"/>
      <c r="P24" s="45"/>
      <c r="Q24" s="45"/>
      <c r="R24" s="30">
        <f aca="false">IF(COUNT(H24:Q24)=0,"",COUNT(H24:Q24))</f>
      </c>
      <c r="S24" s="30">
        <f aca="false">IF(F24="","",MAX(0,F24-COUNT(H24:Q24)))</f>
      </c>
      <c r="T24" s="31">
        <f aca="false">IF(OR(D24="",COUNT(H24:Q24)=0),"",IFERROR(INDEX(H24:Q24,MATCH(TRUE(),INDEX(ISNUMBER(H24:Q24),0),0)),"")/D24)</f>
      </c>
      <c r="U24" s="31">
        <f aca="false">IF(OR(D24="",COUNT(H24:Q24)=0),"",AVERAGE(H24:Q24)/D24)</f>
      </c>
      <c r="V24" s="31">
        <f aca="false">IF(OR(D24="",COUNT(H24:Q24)=0),"",MAX(H24:Q24)/D24)</f>
      </c>
      <c r="W24" s="32">
        <f aca="false">IF(OR(E24="",U24=""),"",U24-E24)</f>
      </c>
      <c r="X24" s="33">
        <f aca="false">IF(OR(F24="",G24=""),"",IF(S24=0,"完了",IF(G24&lt;=$F$5,"期限超過",ROUND(S24/((G24-$F$5)/7),1))))</f>
      </c>
    </row>
    <row r="25" customFormat="false" ht="18.75" hidden="false" customHeight="true" outlineLevel="0" collapsed="false">
      <c r="A25" s="42"/>
      <c r="B25" s="42"/>
      <c r="C25" s="48"/>
      <c r="D25" s="49"/>
      <c r="E25" s="50"/>
      <c r="F25" s="49"/>
      <c r="G25" s="51"/>
      <c r="H25" s="49"/>
      <c r="I25" s="49"/>
      <c r="J25" s="49"/>
      <c r="K25" s="49"/>
      <c r="L25" s="49"/>
      <c r="M25" s="49"/>
      <c r="N25" s="49"/>
      <c r="O25" s="49"/>
      <c r="P25" s="49"/>
      <c r="Q25" s="49"/>
      <c r="R25" s="15">
        <f aca="false">IF(COUNT(H25:Q25)=0,"",COUNT(H25:Q25))</f>
      </c>
      <c r="S25" s="15">
        <f aca="false">IF(F25="","",MAX(0,F25-COUNT(H25:Q25)))</f>
      </c>
      <c r="T25" s="37">
        <f aca="false">IF(OR(D25="",COUNT(H25:Q25)=0),"",IFERROR(INDEX(H25:Q25,MATCH(TRUE(),INDEX(ISNUMBER(H25:Q25),0),0)),"")/D25)</f>
      </c>
      <c r="U25" s="37">
        <f aca="false">IF(OR(D25="",COUNT(H25:Q25)=0),"",AVERAGE(H25:Q25)/D25)</f>
      </c>
      <c r="V25" s="37">
        <f aca="false">IF(OR(D25="",COUNT(H25:Q25)=0),"",MAX(H25:Q25)/D25)</f>
      </c>
      <c r="W25" s="38">
        <f aca="false">IF(OR(E25="",U25=""),"",U25-E25)</f>
      </c>
      <c r="X25" s="39">
        <f aca="false">IF(OR(F25="",G25=""),"",IF(S25=0,"完了",IF(G25&lt;=$F$5,"期限超過",ROUND(S25/((G25-$F$5)/7),1))))</f>
      </c>
    </row>
    <row r="26" customFormat="false" ht="18.75" hidden="false" customHeight="true" outlineLevel="0" collapsed="false">
      <c r="A26" s="42"/>
      <c r="B26" s="42"/>
      <c r="C26" s="48"/>
      <c r="D26" s="49"/>
      <c r="E26" s="50"/>
      <c r="F26" s="49"/>
      <c r="G26" s="51"/>
      <c r="H26" s="49"/>
      <c r="I26" s="49"/>
      <c r="J26" s="49"/>
      <c r="K26" s="49"/>
      <c r="L26" s="49"/>
      <c r="M26" s="49"/>
      <c r="N26" s="49"/>
      <c r="O26" s="49"/>
      <c r="P26" s="49"/>
      <c r="Q26" s="49"/>
      <c r="R26" s="15">
        <f aca="false">IF(COUNT(H26:Q26)=0,"",COUNT(H26:Q26))</f>
      </c>
      <c r="S26" s="15">
        <f aca="false">IF(F26="","",MAX(0,F26-COUNT(H26:Q26)))</f>
      </c>
      <c r="T26" s="37">
        <f aca="false">IF(OR(D26="",COUNT(H26:Q26)=0),"",IFERROR(INDEX(H26:Q26,MATCH(TRUE(),INDEX(ISNUMBER(H26:Q26),0),0)),"")/D26)</f>
      </c>
      <c r="U26" s="37">
        <f aca="false">IF(OR(D26="",COUNT(H26:Q26)=0),"",AVERAGE(H26:Q26)/D26)</f>
      </c>
      <c r="V26" s="37">
        <f aca="false">IF(OR(D26="",COUNT(H26:Q26)=0),"",MAX(H26:Q26)/D26)</f>
      </c>
      <c r="W26" s="38">
        <f aca="false">IF(OR(E26="",U26=""),"",U26-E26)</f>
      </c>
      <c r="X26" s="39">
        <f aca="false">IF(OR(F26="",G26=""),"",IF(S26=0,"完了",IF(G26&lt;=$F$5,"期限超過",ROUND(S26/((G26-$F$5)/7),1))))</f>
      </c>
    </row>
    <row r="27" customFormat="false" ht="18.75" hidden="false" customHeight="true" outlineLevel="0" collapsed="false">
      <c r="A27" s="42"/>
      <c r="B27" s="42"/>
      <c r="C27" s="48"/>
      <c r="D27" s="49"/>
      <c r="E27" s="50"/>
      <c r="F27" s="49"/>
      <c r="G27" s="51"/>
      <c r="H27" s="49"/>
      <c r="I27" s="49"/>
      <c r="J27" s="49"/>
      <c r="K27" s="49"/>
      <c r="L27" s="49"/>
      <c r="M27" s="49"/>
      <c r="N27" s="49"/>
      <c r="O27" s="49"/>
      <c r="P27" s="49"/>
      <c r="Q27" s="49"/>
      <c r="R27" s="15">
        <f aca="false">IF(COUNT(H27:Q27)=0,"",COUNT(H27:Q27))</f>
      </c>
      <c r="S27" s="15">
        <f aca="false">IF(F27="","",MAX(0,F27-COUNT(H27:Q27)))</f>
      </c>
      <c r="T27" s="37">
        <f aca="false">IF(OR(D27="",COUNT(H27:Q27)=0),"",IFERROR(INDEX(H27:Q27,MATCH(TRUE(),INDEX(ISNUMBER(H27:Q27),0),0)),"")/D27)</f>
      </c>
      <c r="U27" s="37">
        <f aca="false">IF(OR(D27="",COUNT(H27:Q27)=0),"",AVERAGE(H27:Q27)/D27)</f>
      </c>
      <c r="V27" s="37">
        <f aca="false">IF(OR(D27="",COUNT(H27:Q27)=0),"",MAX(H27:Q27)/D27)</f>
      </c>
      <c r="W27" s="38">
        <f aca="false">IF(OR(E27="",U27=""),"",U27-E27)</f>
      </c>
      <c r="X27" s="39">
        <f aca="false">IF(OR(F27="",G27=""),"",IF(S27=0,"完了",IF(G27&lt;=$F$5,"期限超過",ROUND(S27/((G27-$F$5)/7),1))))</f>
      </c>
    </row>
    <row r="28" customFormat="false" ht="18.75" hidden="false" customHeight="true" outlineLevel="0" collapsed="false">
      <c r="A28" s="42"/>
      <c r="B28" s="42"/>
      <c r="C28" s="40" t="s">
        <v>119</v>
      </c>
      <c r="D28" s="15">
        <f aca="false">IF(SUM(D24:D27)=0,"",SUM(D24:D27))</f>
      </c>
      <c r="E28" s="50"/>
      <c r="F28" s="41"/>
      <c r="G28" s="41"/>
      <c r="H28" s="37">
        <f aca="false">IF(OR(D28="",COUNT(H24:H27)&lt;COUNT($D$24:$D$27)),"",SUM(H24:H27)/D28)</f>
      </c>
      <c r="I28" s="37">
        <f aca="false">IF(OR(D28="",COUNT(I24:I27)&lt;COUNT($D$24:$D$27)),"",SUM(I24:I27)/D28)</f>
      </c>
      <c r="J28" s="37">
        <f aca="false">IF(OR(D28="",COUNT(J24:J27)&lt;COUNT($D$24:$D$27)),"",SUM(J24:J27)/D28)</f>
      </c>
      <c r="K28" s="37">
        <f aca="false">IF(OR(D28="",COUNT(K24:K27)&lt;COUNT($D$24:$D$27)),"",SUM(K24:K27)/D28)</f>
      </c>
      <c r="L28" s="37">
        <f aca="false">IF(OR(D28="",COUNT(L24:L27)&lt;COUNT($D$24:$D$27)),"",SUM(L24:L27)/D28)</f>
      </c>
      <c r="M28" s="37">
        <f aca="false">IF(OR(D28="",COUNT(M24:M27)&lt;COUNT($D$24:$D$27)),"",SUM(M24:M27)/D28)</f>
      </c>
      <c r="N28" s="37">
        <f aca="false">IF(OR(D28="",COUNT(N24:N27)&lt;COUNT($D$24:$D$27)),"",SUM(N24:N27)/D28)</f>
      </c>
      <c r="O28" s="37">
        <f aca="false">IF(OR(D28="",COUNT(O24:O27)&lt;COUNT($D$24:$D$27)),"",SUM(O24:O27)/D28)</f>
      </c>
      <c r="P28" s="37">
        <f aca="false">IF(OR(D28="",COUNT(P24:P27)&lt;COUNT($D$24:$D$27)),"",SUM(P24:P27)/D28)</f>
      </c>
      <c r="Q28" s="37">
        <f aca="false">IF(OR(D28="",COUNT(Q24:Q27)&lt;COUNT($D$24:$D$27)),"",SUM(Q24:Q27)/D28)</f>
      </c>
      <c r="R28" s="15">
        <f aca="false">IF(COUNT(H28:Q28)=0,"",COUNT(H28:Q28))</f>
      </c>
      <c r="S28" s="41"/>
      <c r="T28" s="37">
        <f aca="false">IF(COUNT(H28:Q28)=0,"",IFERROR(INDEX(H28:Q28,MATCH(TRUE(),INDEX(ISNUMBER(H28:Q28),0),0)),""))</f>
      </c>
      <c r="U28" s="37">
        <f aca="false">IF(COUNT(H28:Q28)=0,"",AVERAGE(H28:Q28))</f>
      </c>
      <c r="V28" s="37">
        <f aca="false">IF(COUNT(H28:Q28)=0,"",MAX(H28:Q28))</f>
      </c>
      <c r="W28" s="38">
        <f aca="false">IF(OR(E28="",U28=""),"",U28-E28)</f>
      </c>
      <c r="X28" s="41"/>
    </row>
    <row r="29" customFormat="false" ht="18.75" hidden="false" customHeight="true" outlineLevel="0" collapsed="false">
      <c r="A29" s="42"/>
      <c r="B29" s="43"/>
      <c r="C29" s="44"/>
      <c r="D29" s="45"/>
      <c r="E29" s="46"/>
      <c r="F29" s="45"/>
      <c r="G29" s="47"/>
      <c r="H29" s="45"/>
      <c r="I29" s="45"/>
      <c r="J29" s="45"/>
      <c r="K29" s="45"/>
      <c r="L29" s="45"/>
      <c r="M29" s="45"/>
      <c r="N29" s="45"/>
      <c r="O29" s="45"/>
      <c r="P29" s="45"/>
      <c r="Q29" s="45"/>
      <c r="R29" s="30">
        <f aca="false">IF(COUNT(H29:Q29)=0,"",COUNT(H29:Q29))</f>
      </c>
      <c r="S29" s="30">
        <f aca="false">IF(F29="","",MAX(0,F29-COUNT(H29:Q29)))</f>
      </c>
      <c r="T29" s="31">
        <f aca="false">IF(OR(D29="",COUNT(H29:Q29)=0),"",IFERROR(INDEX(H29:Q29,MATCH(TRUE(),INDEX(ISNUMBER(H29:Q29),0),0)),"")/D29)</f>
      </c>
      <c r="U29" s="31">
        <f aca="false">IF(OR(D29="",COUNT(H29:Q29)=0),"",AVERAGE(H29:Q29)/D29)</f>
      </c>
      <c r="V29" s="31">
        <f aca="false">IF(OR(D29="",COUNT(H29:Q29)=0),"",MAX(H29:Q29)/D29)</f>
      </c>
      <c r="W29" s="32">
        <f aca="false">IF(OR(E29="",U29=""),"",U29-E29)</f>
      </c>
      <c r="X29" s="33">
        <f aca="false">IF(OR(F29="",G29=""),"",IF(S29=0,"完了",IF(G29&lt;=$F$5,"期限超過",ROUND(S29/((G29-$F$5)/7),1))))</f>
      </c>
    </row>
    <row r="30" customFormat="false" ht="18.75" hidden="false" customHeight="true" outlineLevel="0" collapsed="false">
      <c r="A30" s="42"/>
      <c r="B30" s="42"/>
      <c r="C30" s="48"/>
      <c r="D30" s="49"/>
      <c r="E30" s="50"/>
      <c r="F30" s="49"/>
      <c r="G30" s="51"/>
      <c r="H30" s="49"/>
      <c r="I30" s="49"/>
      <c r="J30" s="49"/>
      <c r="K30" s="49"/>
      <c r="L30" s="49"/>
      <c r="M30" s="49"/>
      <c r="N30" s="49"/>
      <c r="O30" s="49"/>
      <c r="P30" s="49"/>
      <c r="Q30" s="49"/>
      <c r="R30" s="15">
        <f aca="false">IF(COUNT(H30:Q30)=0,"",COUNT(H30:Q30))</f>
      </c>
      <c r="S30" s="15">
        <f aca="false">IF(F30="","",MAX(0,F30-COUNT(H30:Q30)))</f>
      </c>
      <c r="T30" s="37">
        <f aca="false">IF(OR(D30="",COUNT(H30:Q30)=0),"",IFERROR(INDEX(H30:Q30,MATCH(TRUE(),INDEX(ISNUMBER(H30:Q30),0),0)),"")/D30)</f>
      </c>
      <c r="U30" s="37">
        <f aca="false">IF(OR(D30="",COUNT(H30:Q30)=0),"",AVERAGE(H30:Q30)/D30)</f>
      </c>
      <c r="V30" s="37">
        <f aca="false">IF(OR(D30="",COUNT(H30:Q30)=0),"",MAX(H30:Q30)/D30)</f>
      </c>
      <c r="W30" s="38">
        <f aca="false">IF(OR(E30="",U30=""),"",U30-E30)</f>
      </c>
      <c r="X30" s="39">
        <f aca="false">IF(OR(F30="",G30=""),"",IF(S30=0,"完了",IF(G30&lt;=$F$5,"期限超過",ROUND(S30/((G30-$F$5)/7),1))))</f>
      </c>
    </row>
    <row r="31" customFormat="false" ht="18.75" hidden="false" customHeight="true" outlineLevel="0" collapsed="false">
      <c r="A31" s="42"/>
      <c r="B31" s="42"/>
      <c r="C31" s="48"/>
      <c r="D31" s="49"/>
      <c r="E31" s="50"/>
      <c r="F31" s="49"/>
      <c r="G31" s="51"/>
      <c r="H31" s="49"/>
      <c r="I31" s="49"/>
      <c r="J31" s="49"/>
      <c r="K31" s="49"/>
      <c r="L31" s="49"/>
      <c r="M31" s="49"/>
      <c r="N31" s="49"/>
      <c r="O31" s="49"/>
      <c r="P31" s="49"/>
      <c r="Q31" s="49"/>
      <c r="R31" s="15">
        <f aca="false">IF(COUNT(H31:Q31)=0,"",COUNT(H31:Q31))</f>
      </c>
      <c r="S31" s="15">
        <f aca="false">IF(F31="","",MAX(0,F31-COUNT(H31:Q31)))</f>
      </c>
      <c r="T31" s="37">
        <f aca="false">IF(OR(D31="",COUNT(H31:Q31)=0),"",IFERROR(INDEX(H31:Q31,MATCH(TRUE(),INDEX(ISNUMBER(H31:Q31),0),0)),"")/D31)</f>
      </c>
      <c r="U31" s="37">
        <f aca="false">IF(OR(D31="",COUNT(H31:Q31)=0),"",AVERAGE(H31:Q31)/D31)</f>
      </c>
      <c r="V31" s="37">
        <f aca="false">IF(OR(D31="",COUNT(H31:Q31)=0),"",MAX(H31:Q31)/D31)</f>
      </c>
      <c r="W31" s="38">
        <f aca="false">IF(OR(E31="",U31=""),"",U31-E31)</f>
      </c>
      <c r="X31" s="39">
        <f aca="false">IF(OR(F31="",G31=""),"",IF(S31=0,"完了",IF(G31&lt;=$F$5,"期限超過",ROUND(S31/((G31-$F$5)/7),1))))</f>
      </c>
    </row>
    <row r="32" customFormat="false" ht="18.75" hidden="false" customHeight="true" outlineLevel="0" collapsed="false">
      <c r="A32" s="42"/>
      <c r="B32" s="42"/>
      <c r="C32" s="48"/>
      <c r="D32" s="49"/>
      <c r="E32" s="50"/>
      <c r="F32" s="49"/>
      <c r="G32" s="51"/>
      <c r="H32" s="49"/>
      <c r="I32" s="49"/>
      <c r="J32" s="49"/>
      <c r="K32" s="49"/>
      <c r="L32" s="49"/>
      <c r="M32" s="49"/>
      <c r="N32" s="49"/>
      <c r="O32" s="49"/>
      <c r="P32" s="49"/>
      <c r="Q32" s="49"/>
      <c r="R32" s="15">
        <f aca="false">IF(COUNT(H32:Q32)=0,"",COUNT(H32:Q32))</f>
      </c>
      <c r="S32" s="15">
        <f aca="false">IF(F32="","",MAX(0,F32-COUNT(H32:Q32)))</f>
      </c>
      <c r="T32" s="37">
        <f aca="false">IF(OR(D32="",COUNT(H32:Q32)=0),"",IFERROR(INDEX(H32:Q32,MATCH(TRUE(),INDEX(ISNUMBER(H32:Q32),0),0)),"")/D32)</f>
      </c>
      <c r="U32" s="37">
        <f aca="false">IF(OR(D32="",COUNT(H32:Q32)=0),"",AVERAGE(H32:Q32)/D32)</f>
      </c>
      <c r="V32" s="37">
        <f aca="false">IF(OR(D32="",COUNT(H32:Q32)=0),"",MAX(H32:Q32)/D32)</f>
      </c>
      <c r="W32" s="38">
        <f aca="false">IF(OR(E32="",U32=""),"",U32-E32)</f>
      </c>
      <c r="X32" s="39">
        <f aca="false">IF(OR(F32="",G32=""),"",IF(S32=0,"完了",IF(G32&lt;=$F$5,"期限超過",ROUND(S32/((G32-$F$5)/7),1))))</f>
      </c>
    </row>
    <row r="33" customFormat="false" ht="18.75" hidden="false" customHeight="true" outlineLevel="0" collapsed="false">
      <c r="A33" s="42"/>
      <c r="B33" s="42"/>
      <c r="C33" s="40" t="s">
        <v>119</v>
      </c>
      <c r="D33" s="15">
        <f aca="false">IF(SUM(D29:D32)=0,"",SUM(D29:D32))</f>
      </c>
      <c r="E33" s="50"/>
      <c r="F33" s="41"/>
      <c r="G33" s="41"/>
      <c r="H33" s="37">
        <f aca="false">IF(OR(D33="",COUNT(H29:H32)&lt;COUNT($D$29:$D$32)),"",SUM(H29:H32)/D33)</f>
      </c>
      <c r="I33" s="37">
        <f aca="false">IF(OR(D33="",COUNT(I29:I32)&lt;COUNT($D$29:$D$32)),"",SUM(I29:I32)/D33)</f>
      </c>
      <c r="J33" s="37">
        <f aca="false">IF(OR(D33="",COUNT(J29:J32)&lt;COUNT($D$29:$D$32)),"",SUM(J29:J32)/D33)</f>
      </c>
      <c r="K33" s="37">
        <f aca="false">IF(OR(D33="",COUNT(K29:K32)&lt;COUNT($D$29:$D$32)),"",SUM(K29:K32)/D33)</f>
      </c>
      <c r="L33" s="37">
        <f aca="false">IF(OR(D33="",COUNT(L29:L32)&lt;COUNT($D$29:$D$32)),"",SUM(L29:L32)/D33)</f>
      </c>
      <c r="M33" s="37">
        <f aca="false">IF(OR(D33="",COUNT(M29:M32)&lt;COUNT($D$29:$D$32)),"",SUM(M29:M32)/D33)</f>
      </c>
      <c r="N33" s="37">
        <f aca="false">IF(OR(D33="",COUNT(N29:N32)&lt;COUNT($D$29:$D$32)),"",SUM(N29:N32)/D33)</f>
      </c>
      <c r="O33" s="37">
        <f aca="false">IF(OR(D33="",COUNT(O29:O32)&lt;COUNT($D$29:$D$32)),"",SUM(O29:O32)/D33)</f>
      </c>
      <c r="P33" s="37">
        <f aca="false">IF(OR(D33="",COUNT(P29:P32)&lt;COUNT($D$29:$D$32)),"",SUM(P29:P32)/D33)</f>
      </c>
      <c r="Q33" s="37">
        <f aca="false">IF(OR(D33="",COUNT(Q29:Q32)&lt;COUNT($D$29:$D$32)),"",SUM(Q29:Q32)/D33)</f>
      </c>
      <c r="R33" s="15">
        <f aca="false">IF(COUNT(H33:Q33)=0,"",COUNT(H33:Q33))</f>
      </c>
      <c r="S33" s="41"/>
      <c r="T33" s="37">
        <f aca="false">IF(COUNT(H33:Q33)=0,"",IFERROR(INDEX(H33:Q33,MATCH(TRUE(),INDEX(ISNUMBER(H33:Q33),0),0)),""))</f>
      </c>
      <c r="U33" s="37">
        <f aca="false">IF(COUNT(H33:Q33)=0,"",AVERAGE(H33:Q33))</f>
      </c>
      <c r="V33" s="37">
        <f aca="false">IF(COUNT(H33:Q33)=0,"",MAX(H33:Q33))</f>
      </c>
      <c r="W33" s="38">
        <f aca="false">IF(OR(E33="",U33=""),"",U33-E33)</f>
      </c>
      <c r="X33" s="41"/>
    </row>
    <row r="34" customFormat="false" ht="18.75" hidden="false" customHeight="true" outlineLevel="0" collapsed="false">
      <c r="A34" s="42"/>
      <c r="B34" s="43"/>
      <c r="C34" s="44"/>
      <c r="D34" s="45"/>
      <c r="E34" s="46"/>
      <c r="F34" s="45"/>
      <c r="G34" s="47"/>
      <c r="H34" s="45"/>
      <c r="I34" s="45"/>
      <c r="J34" s="45"/>
      <c r="K34" s="45"/>
      <c r="L34" s="45"/>
      <c r="M34" s="45"/>
      <c r="N34" s="45"/>
      <c r="O34" s="45"/>
      <c r="P34" s="45"/>
      <c r="Q34" s="45"/>
      <c r="R34" s="30">
        <f aca="false">IF(COUNT(H34:Q34)=0,"",COUNT(H34:Q34))</f>
      </c>
      <c r="S34" s="30">
        <f aca="false">IF(F34="","",MAX(0,F34-COUNT(H34:Q34)))</f>
      </c>
      <c r="T34" s="31">
        <f aca="false">IF(OR(D34="",COUNT(H34:Q34)=0),"",IFERROR(INDEX(H34:Q34,MATCH(TRUE(),INDEX(ISNUMBER(H34:Q34),0),0)),"")/D34)</f>
      </c>
      <c r="U34" s="31">
        <f aca="false">IF(OR(D34="",COUNT(H34:Q34)=0),"",AVERAGE(H34:Q34)/D34)</f>
      </c>
      <c r="V34" s="31">
        <f aca="false">IF(OR(D34="",COUNT(H34:Q34)=0),"",MAX(H34:Q34)/D34)</f>
      </c>
      <c r="W34" s="32">
        <f aca="false">IF(OR(E34="",U34=""),"",U34-E34)</f>
      </c>
      <c r="X34" s="33">
        <f aca="false">IF(OR(F34="",G34=""),"",IF(S34=0,"完了",IF(G34&lt;=$F$5,"期限超過",ROUND(S34/((G34-$F$5)/7),1))))</f>
      </c>
    </row>
    <row r="35" customFormat="false" ht="18.75" hidden="false" customHeight="true" outlineLevel="0" collapsed="false">
      <c r="A35" s="42"/>
      <c r="B35" s="42"/>
      <c r="C35" s="48"/>
      <c r="D35" s="49"/>
      <c r="E35" s="50"/>
      <c r="F35" s="49"/>
      <c r="G35" s="51"/>
      <c r="H35" s="49"/>
      <c r="I35" s="49"/>
      <c r="J35" s="49"/>
      <c r="K35" s="49"/>
      <c r="L35" s="49"/>
      <c r="M35" s="49"/>
      <c r="N35" s="49"/>
      <c r="O35" s="49"/>
      <c r="P35" s="49"/>
      <c r="Q35" s="49"/>
      <c r="R35" s="15">
        <f aca="false">IF(COUNT(H35:Q35)=0,"",COUNT(H35:Q35))</f>
      </c>
      <c r="S35" s="15">
        <f aca="false">IF(F35="","",MAX(0,F35-COUNT(H35:Q35)))</f>
      </c>
      <c r="T35" s="37">
        <f aca="false">IF(OR(D35="",COUNT(H35:Q35)=0),"",IFERROR(INDEX(H35:Q35,MATCH(TRUE(),INDEX(ISNUMBER(H35:Q35),0),0)),"")/D35)</f>
      </c>
      <c r="U35" s="37">
        <f aca="false">IF(OR(D35="",COUNT(H35:Q35)=0),"",AVERAGE(H35:Q35)/D35)</f>
      </c>
      <c r="V35" s="37">
        <f aca="false">IF(OR(D35="",COUNT(H35:Q35)=0),"",MAX(H35:Q35)/D35)</f>
      </c>
      <c r="W35" s="38">
        <f aca="false">IF(OR(E35="",U35=""),"",U35-E35)</f>
      </c>
      <c r="X35" s="39">
        <f aca="false">IF(OR(F35="",G35=""),"",IF(S35=0,"完了",IF(G35&lt;=$F$5,"期限超過",ROUND(S35/((G35-$F$5)/7),1))))</f>
      </c>
    </row>
    <row r="36" customFormat="false" ht="18.75" hidden="false" customHeight="true" outlineLevel="0" collapsed="false">
      <c r="A36" s="42"/>
      <c r="B36" s="42"/>
      <c r="C36" s="48"/>
      <c r="D36" s="49"/>
      <c r="E36" s="50"/>
      <c r="F36" s="49"/>
      <c r="G36" s="51"/>
      <c r="H36" s="49"/>
      <c r="I36" s="49"/>
      <c r="J36" s="49"/>
      <c r="K36" s="49"/>
      <c r="L36" s="49"/>
      <c r="M36" s="49"/>
      <c r="N36" s="49"/>
      <c r="O36" s="49"/>
      <c r="P36" s="49"/>
      <c r="Q36" s="49"/>
      <c r="R36" s="15">
        <f aca="false">IF(COUNT(H36:Q36)=0,"",COUNT(H36:Q36))</f>
      </c>
      <c r="S36" s="15">
        <f aca="false">IF(F36="","",MAX(0,F36-COUNT(H36:Q36)))</f>
      </c>
      <c r="T36" s="37">
        <f aca="false">IF(OR(D36="",COUNT(H36:Q36)=0),"",IFERROR(INDEX(H36:Q36,MATCH(TRUE(),INDEX(ISNUMBER(H36:Q36),0),0)),"")/D36)</f>
      </c>
      <c r="U36" s="37">
        <f aca="false">IF(OR(D36="",COUNT(H36:Q36)=0),"",AVERAGE(H36:Q36)/D36)</f>
      </c>
      <c r="V36" s="37">
        <f aca="false">IF(OR(D36="",COUNT(H36:Q36)=0),"",MAX(H36:Q36)/D36)</f>
      </c>
      <c r="W36" s="38">
        <f aca="false">IF(OR(E36="",U36=""),"",U36-E36)</f>
      </c>
      <c r="X36" s="39">
        <f aca="false">IF(OR(F36="",G36=""),"",IF(S36=0,"完了",IF(G36&lt;=$F$5,"期限超過",ROUND(S36/((G36-$F$5)/7),1))))</f>
      </c>
    </row>
    <row r="37" customFormat="false" ht="18.75" hidden="false" customHeight="true" outlineLevel="0" collapsed="false">
      <c r="A37" s="42"/>
      <c r="B37" s="42"/>
      <c r="C37" s="48"/>
      <c r="D37" s="49"/>
      <c r="E37" s="50"/>
      <c r="F37" s="49"/>
      <c r="G37" s="51"/>
      <c r="H37" s="49"/>
      <c r="I37" s="49"/>
      <c r="J37" s="49"/>
      <c r="K37" s="49"/>
      <c r="L37" s="49"/>
      <c r="M37" s="49"/>
      <c r="N37" s="49"/>
      <c r="O37" s="49"/>
      <c r="P37" s="49"/>
      <c r="Q37" s="49"/>
      <c r="R37" s="15">
        <f aca="false">IF(COUNT(H37:Q37)=0,"",COUNT(H37:Q37))</f>
      </c>
      <c r="S37" s="15">
        <f aca="false">IF(F37="","",MAX(0,F37-COUNT(H37:Q37)))</f>
      </c>
      <c r="T37" s="37">
        <f aca="false">IF(OR(D37="",COUNT(H37:Q37)=0),"",IFERROR(INDEX(H37:Q37,MATCH(TRUE(),INDEX(ISNUMBER(H37:Q37),0),0)),"")/D37)</f>
      </c>
      <c r="U37" s="37">
        <f aca="false">IF(OR(D37="",COUNT(H37:Q37)=0),"",AVERAGE(H37:Q37)/D37)</f>
      </c>
      <c r="V37" s="37">
        <f aca="false">IF(OR(D37="",COUNT(H37:Q37)=0),"",MAX(H37:Q37)/D37)</f>
      </c>
      <c r="W37" s="38">
        <f aca="false">IF(OR(E37="",U37=""),"",U37-E37)</f>
      </c>
      <c r="X37" s="39">
        <f aca="false">IF(OR(F37="",G37=""),"",IF(S37=0,"完了",IF(G37&lt;=$F$5,"期限超過",ROUND(S37/((G37-$F$5)/7),1))))</f>
      </c>
    </row>
    <row r="38" customFormat="false" ht="18.75" hidden="false" customHeight="true" outlineLevel="0" collapsed="false">
      <c r="A38" s="42"/>
      <c r="B38" s="42"/>
      <c r="C38" s="40" t="s">
        <v>119</v>
      </c>
      <c r="D38" s="15">
        <f aca="false">IF(SUM(D34:D37)=0,"",SUM(D34:D37))</f>
      </c>
      <c r="E38" s="50"/>
      <c r="F38" s="41"/>
      <c r="G38" s="41"/>
      <c r="H38" s="37">
        <f aca="false">IF(OR(D38="",COUNT(H34:H37)&lt;COUNT($D$34:$D$37)),"",SUM(H34:H37)/D38)</f>
      </c>
      <c r="I38" s="37">
        <f aca="false">IF(OR(D38="",COUNT(I34:I37)&lt;COUNT($D$34:$D$37)),"",SUM(I34:I37)/D38)</f>
      </c>
      <c r="J38" s="37">
        <f aca="false">IF(OR(D38="",COUNT(J34:J37)&lt;COUNT($D$34:$D$37)),"",SUM(J34:J37)/D38)</f>
      </c>
      <c r="K38" s="37">
        <f aca="false">IF(OR(D38="",COUNT(K34:K37)&lt;COUNT($D$34:$D$37)),"",SUM(K34:K37)/D38)</f>
      </c>
      <c r="L38" s="37">
        <f aca="false">IF(OR(D38="",COUNT(L34:L37)&lt;COUNT($D$34:$D$37)),"",SUM(L34:L37)/D38)</f>
      </c>
      <c r="M38" s="37">
        <f aca="false">IF(OR(D38="",COUNT(M34:M37)&lt;COUNT($D$34:$D$37)),"",SUM(M34:M37)/D38)</f>
      </c>
      <c r="N38" s="37">
        <f aca="false">IF(OR(D38="",COUNT(N34:N37)&lt;COUNT($D$34:$D$37)),"",SUM(N34:N37)/D38)</f>
      </c>
      <c r="O38" s="37">
        <f aca="false">IF(OR(D38="",COUNT(O34:O37)&lt;COUNT($D$34:$D$37)),"",SUM(O34:O37)/D38)</f>
      </c>
      <c r="P38" s="37">
        <f aca="false">IF(OR(D38="",COUNT(P34:P37)&lt;COUNT($D$34:$D$37)),"",SUM(P34:P37)/D38)</f>
      </c>
      <c r="Q38" s="37">
        <f aca="false">IF(OR(D38="",COUNT(Q34:Q37)&lt;COUNT($D$34:$D$37)),"",SUM(Q34:Q37)/D38)</f>
      </c>
      <c r="R38" s="15">
        <f aca="false">IF(COUNT(H38:Q38)=0,"",COUNT(H38:Q38))</f>
      </c>
      <c r="S38" s="41"/>
      <c r="T38" s="37">
        <f aca="false">IF(COUNT(H38:Q38)=0,"",IFERROR(INDEX(H38:Q38,MATCH(TRUE(),INDEX(ISNUMBER(H38:Q38),0),0)),""))</f>
      </c>
      <c r="U38" s="37">
        <f aca="false">IF(COUNT(H38:Q38)=0,"",AVERAGE(H38:Q38))</f>
      </c>
      <c r="V38" s="37">
        <f aca="false">IF(COUNT(H38:Q38)=0,"",MAX(H38:Q38))</f>
      </c>
      <c r="W38" s="38">
        <f aca="false">IF(OR(E38="",U38=""),"",U38-E38)</f>
      </c>
      <c r="X38" s="41"/>
    </row>
    <row r="39" customFormat="false" ht="18.75" hidden="false" customHeight="true" outlineLevel="0" collapsed="false">
      <c r="A39" s="42"/>
      <c r="B39" s="43"/>
      <c r="C39" s="44"/>
      <c r="D39" s="45"/>
      <c r="E39" s="46"/>
      <c r="F39" s="45"/>
      <c r="G39" s="47"/>
      <c r="H39" s="45"/>
      <c r="I39" s="45"/>
      <c r="J39" s="45"/>
      <c r="K39" s="45"/>
      <c r="L39" s="45"/>
      <c r="M39" s="45"/>
      <c r="N39" s="45"/>
      <c r="O39" s="45"/>
      <c r="P39" s="45"/>
      <c r="Q39" s="45"/>
      <c r="R39" s="30">
        <f aca="false">IF(COUNT(H39:Q39)=0,"",COUNT(H39:Q39))</f>
      </c>
      <c r="S39" s="30">
        <f aca="false">IF(F39="","",MAX(0,F39-COUNT(H39:Q39)))</f>
      </c>
      <c r="T39" s="31">
        <f aca="false">IF(OR(D39="",COUNT(H39:Q39)=0),"",IFERROR(INDEX(H39:Q39,MATCH(TRUE(),INDEX(ISNUMBER(H39:Q39),0),0)),"")/D39)</f>
      </c>
      <c r="U39" s="31">
        <f aca="false">IF(OR(D39="",COUNT(H39:Q39)=0),"",AVERAGE(H39:Q39)/D39)</f>
      </c>
      <c r="V39" s="31">
        <f aca="false">IF(OR(D39="",COUNT(H39:Q39)=0),"",MAX(H39:Q39)/D39)</f>
      </c>
      <c r="W39" s="32">
        <f aca="false">IF(OR(E39="",U39=""),"",U39-E39)</f>
      </c>
      <c r="X39" s="33">
        <f aca="false">IF(OR(F39="",G39=""),"",IF(S39=0,"完了",IF(G39&lt;=$F$5,"期限超過",ROUND(S39/((G39-$F$5)/7),1))))</f>
      </c>
    </row>
    <row r="40" customFormat="false" ht="18.75" hidden="false" customHeight="true" outlineLevel="0" collapsed="false">
      <c r="A40" s="42"/>
      <c r="B40" s="42"/>
      <c r="C40" s="48"/>
      <c r="D40" s="49"/>
      <c r="E40" s="50"/>
      <c r="F40" s="49"/>
      <c r="G40" s="51"/>
      <c r="H40" s="49"/>
      <c r="I40" s="49"/>
      <c r="J40" s="49"/>
      <c r="K40" s="49"/>
      <c r="L40" s="49"/>
      <c r="M40" s="49"/>
      <c r="N40" s="49"/>
      <c r="O40" s="49"/>
      <c r="P40" s="49"/>
      <c r="Q40" s="49"/>
      <c r="R40" s="15">
        <f aca="false">IF(COUNT(H40:Q40)=0,"",COUNT(H40:Q40))</f>
      </c>
      <c r="S40" s="15">
        <f aca="false">IF(F40="","",MAX(0,F40-COUNT(H40:Q40)))</f>
      </c>
      <c r="T40" s="37">
        <f aca="false">IF(OR(D40="",COUNT(H40:Q40)=0),"",IFERROR(INDEX(H40:Q40,MATCH(TRUE(),INDEX(ISNUMBER(H40:Q40),0),0)),"")/D40)</f>
      </c>
      <c r="U40" s="37">
        <f aca="false">IF(OR(D40="",COUNT(H40:Q40)=0),"",AVERAGE(H40:Q40)/D40)</f>
      </c>
      <c r="V40" s="37">
        <f aca="false">IF(OR(D40="",COUNT(H40:Q40)=0),"",MAX(H40:Q40)/D40)</f>
      </c>
      <c r="W40" s="38">
        <f aca="false">IF(OR(E40="",U40=""),"",U40-E40)</f>
      </c>
      <c r="X40" s="39">
        <f aca="false">IF(OR(F40="",G40=""),"",IF(S40=0,"完了",IF(G40&lt;=$F$5,"期限超過",ROUND(S40/((G40-$F$5)/7),1))))</f>
      </c>
    </row>
    <row r="41" customFormat="false" ht="18.75" hidden="false" customHeight="true" outlineLevel="0" collapsed="false">
      <c r="A41" s="42"/>
      <c r="B41" s="42"/>
      <c r="C41" s="48"/>
      <c r="D41" s="49"/>
      <c r="E41" s="50"/>
      <c r="F41" s="49"/>
      <c r="G41" s="51"/>
      <c r="H41" s="49"/>
      <c r="I41" s="49"/>
      <c r="J41" s="49"/>
      <c r="K41" s="49"/>
      <c r="L41" s="49"/>
      <c r="M41" s="49"/>
      <c r="N41" s="49"/>
      <c r="O41" s="49"/>
      <c r="P41" s="49"/>
      <c r="Q41" s="49"/>
      <c r="R41" s="15">
        <f aca="false">IF(COUNT(H41:Q41)=0,"",COUNT(H41:Q41))</f>
      </c>
      <c r="S41" s="15">
        <f aca="false">IF(F41="","",MAX(0,F41-COUNT(H41:Q41)))</f>
      </c>
      <c r="T41" s="37">
        <f aca="false">IF(OR(D41="",COUNT(H41:Q41)=0),"",IFERROR(INDEX(H41:Q41,MATCH(TRUE(),INDEX(ISNUMBER(H41:Q41),0),0)),"")/D41)</f>
      </c>
      <c r="U41" s="37">
        <f aca="false">IF(OR(D41="",COUNT(H41:Q41)=0),"",AVERAGE(H41:Q41)/D41)</f>
      </c>
      <c r="V41" s="37">
        <f aca="false">IF(OR(D41="",COUNT(H41:Q41)=0),"",MAX(H41:Q41)/D41)</f>
      </c>
      <c r="W41" s="38">
        <f aca="false">IF(OR(E41="",U41=""),"",U41-E41)</f>
      </c>
      <c r="X41" s="39">
        <f aca="false">IF(OR(F41="",G41=""),"",IF(S41=0,"完了",IF(G41&lt;=$F$5,"期限超過",ROUND(S41/((G41-$F$5)/7),1))))</f>
      </c>
    </row>
    <row r="42" customFormat="false" ht="18.75" hidden="false" customHeight="true" outlineLevel="0" collapsed="false">
      <c r="A42" s="42"/>
      <c r="B42" s="42"/>
      <c r="C42" s="48"/>
      <c r="D42" s="49"/>
      <c r="E42" s="50"/>
      <c r="F42" s="49"/>
      <c r="G42" s="51"/>
      <c r="H42" s="49"/>
      <c r="I42" s="49"/>
      <c r="J42" s="49"/>
      <c r="K42" s="49"/>
      <c r="L42" s="49"/>
      <c r="M42" s="49"/>
      <c r="N42" s="49"/>
      <c r="O42" s="49"/>
      <c r="P42" s="49"/>
      <c r="Q42" s="49"/>
      <c r="R42" s="15">
        <f aca="false">IF(COUNT(H42:Q42)=0,"",COUNT(H42:Q42))</f>
      </c>
      <c r="S42" s="15">
        <f aca="false">IF(F42="","",MAX(0,F42-COUNT(H42:Q42)))</f>
      </c>
      <c r="T42" s="37">
        <f aca="false">IF(OR(D42="",COUNT(H42:Q42)=0),"",IFERROR(INDEX(H42:Q42,MATCH(TRUE(),INDEX(ISNUMBER(H42:Q42),0),0)),"")/D42)</f>
      </c>
      <c r="U42" s="37">
        <f aca="false">IF(OR(D42="",COUNT(H42:Q42)=0),"",AVERAGE(H42:Q42)/D42)</f>
      </c>
      <c r="V42" s="37">
        <f aca="false">IF(OR(D42="",COUNT(H42:Q42)=0),"",MAX(H42:Q42)/D42)</f>
      </c>
      <c r="W42" s="38">
        <f aca="false">IF(OR(E42="",U42=""),"",U42-E42)</f>
      </c>
      <c r="X42" s="39">
        <f aca="false">IF(OR(F42="",G42=""),"",IF(S42=0,"完了",IF(G42&lt;=$F$5,"期限超過",ROUND(S42/((G42-$F$5)/7),1))))</f>
      </c>
    </row>
    <row r="43" customFormat="false" ht="18.75" hidden="false" customHeight="true" outlineLevel="0" collapsed="false">
      <c r="A43" s="42"/>
      <c r="B43" s="42"/>
      <c r="C43" s="40" t="s">
        <v>119</v>
      </c>
      <c r="D43" s="15">
        <f aca="false">IF(SUM(D39:D42)=0,"",SUM(D39:D42))</f>
      </c>
      <c r="E43" s="50"/>
      <c r="F43" s="41"/>
      <c r="G43" s="41"/>
      <c r="H43" s="37">
        <f aca="false">IF(OR(D43="",COUNT(H39:H42)&lt;COUNT($D$39:$D$42)),"",SUM(H39:H42)/D43)</f>
      </c>
      <c r="I43" s="37">
        <f aca="false">IF(OR(D43="",COUNT(I39:I42)&lt;COUNT($D$39:$D$42)),"",SUM(I39:I42)/D43)</f>
      </c>
      <c r="J43" s="37">
        <f aca="false">IF(OR(D43="",COUNT(J39:J42)&lt;COUNT($D$39:$D$42)),"",SUM(J39:J42)/D43)</f>
      </c>
      <c r="K43" s="37">
        <f aca="false">IF(OR(D43="",COUNT(K39:K42)&lt;COUNT($D$39:$D$42)),"",SUM(K39:K42)/D43)</f>
      </c>
      <c r="L43" s="37">
        <f aca="false">IF(OR(D43="",COUNT(L39:L42)&lt;COUNT($D$39:$D$42)),"",SUM(L39:L42)/D43)</f>
      </c>
      <c r="M43" s="37">
        <f aca="false">IF(OR(D43="",COUNT(M39:M42)&lt;COUNT($D$39:$D$42)),"",SUM(M39:M42)/D43)</f>
      </c>
      <c r="N43" s="37">
        <f aca="false">IF(OR(D43="",COUNT(N39:N42)&lt;COUNT($D$39:$D$42)),"",SUM(N39:N42)/D43)</f>
      </c>
      <c r="O43" s="37">
        <f aca="false">IF(OR(D43="",COUNT(O39:O42)&lt;COUNT($D$39:$D$42)),"",SUM(O39:O42)/D43)</f>
      </c>
      <c r="P43" s="37">
        <f aca="false">IF(OR(D43="",COUNT(P39:P42)&lt;COUNT($D$39:$D$42)),"",SUM(P39:P42)/D43)</f>
      </c>
      <c r="Q43" s="37">
        <f aca="false">IF(OR(D43="",COUNT(Q39:Q42)&lt;COUNT($D$39:$D$42)),"",SUM(Q39:Q42)/D43)</f>
      </c>
      <c r="R43" s="15">
        <f aca="false">IF(COUNT(H43:Q43)=0,"",COUNT(H43:Q43))</f>
      </c>
      <c r="S43" s="41"/>
      <c r="T43" s="37">
        <f aca="false">IF(COUNT(H43:Q43)=0,"",IFERROR(INDEX(H43:Q43,MATCH(TRUE(),INDEX(ISNUMBER(H43:Q43),0),0)),""))</f>
      </c>
      <c r="U43" s="37">
        <f aca="false">IF(COUNT(H43:Q43)=0,"",AVERAGE(H43:Q43))</f>
      </c>
      <c r="V43" s="37">
        <f aca="false">IF(COUNT(H43:Q43)=0,"",MAX(H43:Q43))</f>
      </c>
      <c r="W43" s="38">
        <f aca="false">IF(OR(E43="",U43=""),"",U43-E43)</f>
      </c>
      <c r="X43" s="41"/>
    </row>
    <row r="44" customFormat="false" ht="18.75" hidden="false" customHeight="true" outlineLevel="0" collapsed="false">
      <c r="A44" s="42"/>
      <c r="B44" s="43"/>
      <c r="C44" s="44"/>
      <c r="D44" s="45"/>
      <c r="E44" s="46"/>
      <c r="F44" s="45"/>
      <c r="G44" s="47"/>
      <c r="H44" s="45"/>
      <c r="I44" s="45"/>
      <c r="J44" s="45"/>
      <c r="K44" s="45"/>
      <c r="L44" s="45"/>
      <c r="M44" s="45"/>
      <c r="N44" s="45"/>
      <c r="O44" s="45"/>
      <c r="P44" s="45"/>
      <c r="Q44" s="45"/>
      <c r="R44" s="30">
        <f aca="false">IF(COUNT(H44:Q44)=0,"",COUNT(H44:Q44))</f>
      </c>
      <c r="S44" s="30">
        <f aca="false">IF(F44="","",MAX(0,F44-COUNT(H44:Q44)))</f>
      </c>
      <c r="T44" s="31">
        <f aca="false">IF(OR(D44="",COUNT(H44:Q44)=0),"",IFERROR(INDEX(H44:Q44,MATCH(TRUE(),INDEX(ISNUMBER(H44:Q44),0),0)),"")/D44)</f>
      </c>
      <c r="U44" s="31">
        <f aca="false">IF(OR(D44="",COUNT(H44:Q44)=0),"",AVERAGE(H44:Q44)/D44)</f>
      </c>
      <c r="V44" s="31">
        <f aca="false">IF(OR(D44="",COUNT(H44:Q44)=0),"",MAX(H44:Q44)/D44)</f>
      </c>
      <c r="W44" s="32">
        <f aca="false">IF(OR(E44="",U44=""),"",U44-E44)</f>
      </c>
      <c r="X44" s="33">
        <f aca="false">IF(OR(F44="",G44=""),"",IF(S44=0,"完了",IF(G44&lt;=$F$5,"期限超過",ROUND(S44/((G44-$F$5)/7),1))))</f>
      </c>
    </row>
    <row r="45" customFormat="false" ht="18.75" hidden="false" customHeight="true" outlineLevel="0" collapsed="false">
      <c r="A45" s="42"/>
      <c r="B45" s="42"/>
      <c r="C45" s="48"/>
      <c r="D45" s="49"/>
      <c r="E45" s="50"/>
      <c r="F45" s="49"/>
      <c r="G45" s="51"/>
      <c r="H45" s="49"/>
      <c r="I45" s="49"/>
      <c r="J45" s="49"/>
      <c r="K45" s="49"/>
      <c r="L45" s="49"/>
      <c r="M45" s="49"/>
      <c r="N45" s="49"/>
      <c r="O45" s="49"/>
      <c r="P45" s="49"/>
      <c r="Q45" s="49"/>
      <c r="R45" s="15">
        <f aca="false">IF(COUNT(H45:Q45)=0,"",COUNT(H45:Q45))</f>
      </c>
      <c r="S45" s="15">
        <f aca="false">IF(F45="","",MAX(0,F45-COUNT(H45:Q45)))</f>
      </c>
      <c r="T45" s="37">
        <f aca="false">IF(OR(D45="",COUNT(H45:Q45)=0),"",IFERROR(INDEX(H45:Q45,MATCH(TRUE(),INDEX(ISNUMBER(H45:Q45),0),0)),"")/D45)</f>
      </c>
      <c r="U45" s="37">
        <f aca="false">IF(OR(D45="",COUNT(H45:Q45)=0),"",AVERAGE(H45:Q45)/D45)</f>
      </c>
      <c r="V45" s="37">
        <f aca="false">IF(OR(D45="",COUNT(H45:Q45)=0),"",MAX(H45:Q45)/D45)</f>
      </c>
      <c r="W45" s="38">
        <f aca="false">IF(OR(E45="",U45=""),"",U45-E45)</f>
      </c>
      <c r="X45" s="39">
        <f aca="false">IF(OR(F45="",G45=""),"",IF(S45=0,"完了",IF(G45&lt;=$F$5,"期限超過",ROUND(S45/((G45-$F$5)/7),1))))</f>
      </c>
    </row>
    <row r="46" customFormat="false" ht="18.75" hidden="false" customHeight="true" outlineLevel="0" collapsed="false">
      <c r="A46" s="42"/>
      <c r="B46" s="42"/>
      <c r="C46" s="48"/>
      <c r="D46" s="49"/>
      <c r="E46" s="50"/>
      <c r="F46" s="49"/>
      <c r="G46" s="51"/>
      <c r="H46" s="49"/>
      <c r="I46" s="49"/>
      <c r="J46" s="49"/>
      <c r="K46" s="49"/>
      <c r="L46" s="49"/>
      <c r="M46" s="49"/>
      <c r="N46" s="49"/>
      <c r="O46" s="49"/>
      <c r="P46" s="49"/>
      <c r="Q46" s="49"/>
      <c r="R46" s="15">
        <f aca="false">IF(COUNT(H46:Q46)=0,"",COUNT(H46:Q46))</f>
      </c>
      <c r="S46" s="15">
        <f aca="false">IF(F46="","",MAX(0,F46-COUNT(H46:Q46)))</f>
      </c>
      <c r="T46" s="37">
        <f aca="false">IF(OR(D46="",COUNT(H46:Q46)=0),"",IFERROR(INDEX(H46:Q46,MATCH(TRUE(),INDEX(ISNUMBER(H46:Q46),0),0)),"")/D46)</f>
      </c>
      <c r="U46" s="37">
        <f aca="false">IF(OR(D46="",COUNT(H46:Q46)=0),"",AVERAGE(H46:Q46)/D46)</f>
      </c>
      <c r="V46" s="37">
        <f aca="false">IF(OR(D46="",COUNT(H46:Q46)=0),"",MAX(H46:Q46)/D46)</f>
      </c>
      <c r="W46" s="38">
        <f aca="false">IF(OR(E46="",U46=""),"",U46-E46)</f>
      </c>
      <c r="X46" s="39">
        <f aca="false">IF(OR(F46="",G46=""),"",IF(S46=0,"完了",IF(G46&lt;=$F$5,"期限超過",ROUND(S46/((G46-$F$5)/7),1))))</f>
      </c>
    </row>
    <row r="47" customFormat="false" ht="18.75" hidden="false" customHeight="true" outlineLevel="0" collapsed="false">
      <c r="A47" s="42"/>
      <c r="B47" s="42"/>
      <c r="C47" s="48"/>
      <c r="D47" s="49"/>
      <c r="E47" s="50"/>
      <c r="F47" s="49"/>
      <c r="G47" s="51"/>
      <c r="H47" s="49"/>
      <c r="I47" s="49"/>
      <c r="J47" s="49"/>
      <c r="K47" s="49"/>
      <c r="L47" s="49"/>
      <c r="M47" s="49"/>
      <c r="N47" s="49"/>
      <c r="O47" s="49"/>
      <c r="P47" s="49"/>
      <c r="Q47" s="49"/>
      <c r="R47" s="15">
        <f aca="false">IF(COUNT(H47:Q47)=0,"",COUNT(H47:Q47))</f>
      </c>
      <c r="S47" s="15">
        <f aca="false">IF(F47="","",MAX(0,F47-COUNT(H47:Q47)))</f>
      </c>
      <c r="T47" s="37">
        <f aca="false">IF(OR(D47="",COUNT(H47:Q47)=0),"",IFERROR(INDEX(H47:Q47,MATCH(TRUE(),INDEX(ISNUMBER(H47:Q47),0),0)),"")/D47)</f>
      </c>
      <c r="U47" s="37">
        <f aca="false">IF(OR(D47="",COUNT(H47:Q47)=0),"",AVERAGE(H47:Q47)/D47)</f>
      </c>
      <c r="V47" s="37">
        <f aca="false">IF(OR(D47="",COUNT(H47:Q47)=0),"",MAX(H47:Q47)/D47)</f>
      </c>
      <c r="W47" s="38">
        <f aca="false">IF(OR(E47="",U47=""),"",U47-E47)</f>
      </c>
      <c r="X47" s="39">
        <f aca="false">IF(OR(F47="",G47=""),"",IF(S47=0,"完了",IF(G47&lt;=$F$5,"期限超過",ROUND(S47/((G47-$F$5)/7),1))))</f>
      </c>
    </row>
    <row r="48" customFormat="false" ht="18.75" hidden="false" customHeight="true" outlineLevel="0" collapsed="false">
      <c r="A48" s="42"/>
      <c r="B48" s="42"/>
      <c r="C48" s="40" t="s">
        <v>119</v>
      </c>
      <c r="D48" s="15">
        <f aca="false">IF(SUM(D44:D47)=0,"",SUM(D44:D47))</f>
      </c>
      <c r="E48" s="50"/>
      <c r="F48" s="41"/>
      <c r="G48" s="41"/>
      <c r="H48" s="37">
        <f aca="false">IF(OR(D48="",COUNT(H44:H47)&lt;COUNT($D$44:$D$47)),"",SUM(H44:H47)/D48)</f>
      </c>
      <c r="I48" s="37">
        <f aca="false">IF(OR(D48="",COUNT(I44:I47)&lt;COUNT($D$44:$D$47)),"",SUM(I44:I47)/D48)</f>
      </c>
      <c r="J48" s="37">
        <f aca="false">IF(OR(D48="",COUNT(J44:J47)&lt;COUNT($D$44:$D$47)),"",SUM(J44:J47)/D48)</f>
      </c>
      <c r="K48" s="37">
        <f aca="false">IF(OR(D48="",COUNT(K44:K47)&lt;COUNT($D$44:$D$47)),"",SUM(K44:K47)/D48)</f>
      </c>
      <c r="L48" s="37">
        <f aca="false">IF(OR(D48="",COUNT(L44:L47)&lt;COUNT($D$44:$D$47)),"",SUM(L44:L47)/D48)</f>
      </c>
      <c r="M48" s="37">
        <f aca="false">IF(OR(D48="",COUNT(M44:M47)&lt;COUNT($D$44:$D$47)),"",SUM(M44:M47)/D48)</f>
      </c>
      <c r="N48" s="37">
        <f aca="false">IF(OR(D48="",COUNT(N44:N47)&lt;COUNT($D$44:$D$47)),"",SUM(N44:N47)/D48)</f>
      </c>
      <c r="O48" s="37">
        <f aca="false">IF(OR(D48="",COUNT(O44:O47)&lt;COUNT($D$44:$D$47)),"",SUM(O44:O47)/D48)</f>
      </c>
      <c r="P48" s="37">
        <f aca="false">IF(OR(D48="",COUNT(P44:P47)&lt;COUNT($D$44:$D$47)),"",SUM(P44:P47)/D48)</f>
      </c>
      <c r="Q48" s="37">
        <f aca="false">IF(OR(D48="",COUNT(Q44:Q47)&lt;COUNT($D$44:$D$47)),"",SUM(Q44:Q47)/D48)</f>
      </c>
      <c r="R48" s="15">
        <f aca="false">IF(COUNT(H48:Q48)=0,"",COUNT(H48:Q48))</f>
      </c>
      <c r="S48" s="41"/>
      <c r="T48" s="37">
        <f aca="false">IF(COUNT(H48:Q48)=0,"",IFERROR(INDEX(H48:Q48,MATCH(TRUE(),INDEX(ISNUMBER(H48:Q48),0),0)),""))</f>
      </c>
      <c r="U48" s="37">
        <f aca="false">IF(COUNT(H48:Q48)=0,"",AVERAGE(H48:Q48))</f>
      </c>
      <c r="V48" s="37">
        <f aca="false">IF(COUNT(H48:Q48)=0,"",MAX(H48:Q48))</f>
      </c>
      <c r="W48" s="38">
        <f aca="false">IF(OR(E48="",U48=""),"",U48-E48)</f>
      </c>
      <c r="X48" s="41"/>
    </row>
    <row r="49" customFormat="false" ht="18.75" hidden="false" customHeight="true" outlineLevel="0" collapsed="false">
      <c r="A49" s="42"/>
      <c r="B49" s="43"/>
      <c r="C49" s="44"/>
      <c r="D49" s="45"/>
      <c r="E49" s="46"/>
      <c r="F49" s="45"/>
      <c r="G49" s="47"/>
      <c r="H49" s="45"/>
      <c r="I49" s="45"/>
      <c r="J49" s="45"/>
      <c r="K49" s="45"/>
      <c r="L49" s="45"/>
      <c r="M49" s="45"/>
      <c r="N49" s="45"/>
      <c r="O49" s="45"/>
      <c r="P49" s="45"/>
      <c r="Q49" s="45"/>
      <c r="R49" s="30">
        <f aca="false">IF(COUNT(H49:Q49)=0,"",COUNT(H49:Q49))</f>
      </c>
      <c r="S49" s="30">
        <f aca="false">IF(F49="","",MAX(0,F49-COUNT(H49:Q49)))</f>
      </c>
      <c r="T49" s="31">
        <f aca="false">IF(OR(D49="",COUNT(H49:Q49)=0),"",IFERROR(INDEX(H49:Q49,MATCH(TRUE(),INDEX(ISNUMBER(H49:Q49),0),0)),"")/D49)</f>
      </c>
      <c r="U49" s="31">
        <f aca="false">IF(OR(D49="",COUNT(H49:Q49)=0),"",AVERAGE(H49:Q49)/D49)</f>
      </c>
      <c r="V49" s="31">
        <f aca="false">IF(OR(D49="",COUNT(H49:Q49)=0),"",MAX(H49:Q49)/D49)</f>
      </c>
      <c r="W49" s="32">
        <f aca="false">IF(OR(E49="",U49=""),"",U49-E49)</f>
      </c>
      <c r="X49" s="33">
        <f aca="false">IF(OR(F49="",G49=""),"",IF(S49=0,"完了",IF(G49&lt;=$F$5,"期限超過",ROUND(S49/((G49-$F$5)/7),1))))</f>
      </c>
    </row>
    <row r="50" customFormat="false" ht="18.75" hidden="false" customHeight="true" outlineLevel="0" collapsed="false">
      <c r="A50" s="42"/>
      <c r="B50" s="42"/>
      <c r="C50" s="48"/>
      <c r="D50" s="49"/>
      <c r="E50" s="50"/>
      <c r="F50" s="49"/>
      <c r="G50" s="51"/>
      <c r="H50" s="49"/>
      <c r="I50" s="49"/>
      <c r="J50" s="49"/>
      <c r="K50" s="49"/>
      <c r="L50" s="49"/>
      <c r="M50" s="49"/>
      <c r="N50" s="49"/>
      <c r="O50" s="49"/>
      <c r="P50" s="49"/>
      <c r="Q50" s="49"/>
      <c r="R50" s="15">
        <f aca="false">IF(COUNT(H50:Q50)=0,"",COUNT(H50:Q50))</f>
      </c>
      <c r="S50" s="15">
        <f aca="false">IF(F50="","",MAX(0,F50-COUNT(H50:Q50)))</f>
      </c>
      <c r="T50" s="37">
        <f aca="false">IF(OR(D50="",COUNT(H50:Q50)=0),"",IFERROR(INDEX(H50:Q50,MATCH(TRUE(),INDEX(ISNUMBER(H50:Q50),0),0)),"")/D50)</f>
      </c>
      <c r="U50" s="37">
        <f aca="false">IF(OR(D50="",COUNT(H50:Q50)=0),"",AVERAGE(H50:Q50)/D50)</f>
      </c>
      <c r="V50" s="37">
        <f aca="false">IF(OR(D50="",COUNT(H50:Q50)=0),"",MAX(H50:Q50)/D50)</f>
      </c>
      <c r="W50" s="38">
        <f aca="false">IF(OR(E50="",U50=""),"",U50-E50)</f>
      </c>
      <c r="X50" s="39">
        <f aca="false">IF(OR(F50="",G50=""),"",IF(S50=0,"完了",IF(G50&lt;=$F$5,"期限超過",ROUND(S50/((G50-$F$5)/7),1))))</f>
      </c>
    </row>
    <row r="51" customFormat="false" ht="18.75" hidden="false" customHeight="true" outlineLevel="0" collapsed="false">
      <c r="A51" s="42"/>
      <c r="B51" s="42"/>
      <c r="C51" s="48"/>
      <c r="D51" s="49"/>
      <c r="E51" s="50"/>
      <c r="F51" s="49"/>
      <c r="G51" s="51"/>
      <c r="H51" s="49"/>
      <c r="I51" s="49"/>
      <c r="J51" s="49"/>
      <c r="K51" s="49"/>
      <c r="L51" s="49"/>
      <c r="M51" s="49"/>
      <c r="N51" s="49"/>
      <c r="O51" s="49"/>
      <c r="P51" s="49"/>
      <c r="Q51" s="49"/>
      <c r="R51" s="15">
        <f aca="false">IF(COUNT(H51:Q51)=0,"",COUNT(H51:Q51))</f>
      </c>
      <c r="S51" s="15">
        <f aca="false">IF(F51="","",MAX(0,F51-COUNT(H51:Q51)))</f>
      </c>
      <c r="T51" s="37">
        <f aca="false">IF(OR(D51="",COUNT(H51:Q51)=0),"",IFERROR(INDEX(H51:Q51,MATCH(TRUE(),INDEX(ISNUMBER(H51:Q51),0),0)),"")/D51)</f>
      </c>
      <c r="U51" s="37">
        <f aca="false">IF(OR(D51="",COUNT(H51:Q51)=0),"",AVERAGE(H51:Q51)/D51)</f>
      </c>
      <c r="V51" s="37">
        <f aca="false">IF(OR(D51="",COUNT(H51:Q51)=0),"",MAX(H51:Q51)/D51)</f>
      </c>
      <c r="W51" s="38">
        <f aca="false">IF(OR(E51="",U51=""),"",U51-E51)</f>
      </c>
      <c r="X51" s="39">
        <f aca="false">IF(OR(F51="",G51=""),"",IF(S51=0,"完了",IF(G51&lt;=$F$5,"期限超過",ROUND(S51/((G51-$F$5)/7),1))))</f>
      </c>
    </row>
    <row r="52" customFormat="false" ht="18.75" hidden="false" customHeight="true" outlineLevel="0" collapsed="false">
      <c r="A52" s="42"/>
      <c r="B52" s="42"/>
      <c r="C52" s="48"/>
      <c r="D52" s="49"/>
      <c r="E52" s="50"/>
      <c r="F52" s="49"/>
      <c r="G52" s="51"/>
      <c r="H52" s="49"/>
      <c r="I52" s="49"/>
      <c r="J52" s="49"/>
      <c r="K52" s="49"/>
      <c r="L52" s="49"/>
      <c r="M52" s="49"/>
      <c r="N52" s="49"/>
      <c r="O52" s="49"/>
      <c r="P52" s="49"/>
      <c r="Q52" s="49"/>
      <c r="R52" s="15">
        <f aca="false">IF(COUNT(H52:Q52)=0,"",COUNT(H52:Q52))</f>
      </c>
      <c r="S52" s="15">
        <f aca="false">IF(F52="","",MAX(0,F52-COUNT(H52:Q52)))</f>
      </c>
      <c r="T52" s="37">
        <f aca="false">IF(OR(D52="",COUNT(H52:Q52)=0),"",IFERROR(INDEX(H52:Q52,MATCH(TRUE(),INDEX(ISNUMBER(H52:Q52),0),0)),"")/D52)</f>
      </c>
      <c r="U52" s="37">
        <f aca="false">IF(OR(D52="",COUNT(H52:Q52)=0),"",AVERAGE(H52:Q52)/D52)</f>
      </c>
      <c r="V52" s="37">
        <f aca="false">IF(OR(D52="",COUNT(H52:Q52)=0),"",MAX(H52:Q52)/D52)</f>
      </c>
      <c r="W52" s="38">
        <f aca="false">IF(OR(E52="",U52=""),"",U52-E52)</f>
      </c>
      <c r="X52" s="39">
        <f aca="false">IF(OR(F52="",G52=""),"",IF(S52=0,"完了",IF(G52&lt;=$F$5,"期限超過",ROUND(S52/((G52-$F$5)/7),1))))</f>
      </c>
    </row>
    <row r="53" customFormat="false" ht="18.75" hidden="false" customHeight="true" outlineLevel="0" collapsed="false">
      <c r="A53" s="42"/>
      <c r="B53" s="42"/>
      <c r="C53" s="40" t="s">
        <v>119</v>
      </c>
      <c r="D53" s="15">
        <f aca="false">IF(SUM(D49:D52)=0,"",SUM(D49:D52))</f>
      </c>
      <c r="E53" s="50"/>
      <c r="F53" s="41"/>
      <c r="G53" s="41"/>
      <c r="H53" s="37">
        <f aca="false">IF(OR(D53="",COUNT(H49:H52)&lt;COUNT($D$49:$D$52)),"",SUM(H49:H52)/D53)</f>
      </c>
      <c r="I53" s="37">
        <f aca="false">IF(OR(D53="",COUNT(I49:I52)&lt;COUNT($D$49:$D$52)),"",SUM(I49:I52)/D53)</f>
      </c>
      <c r="J53" s="37">
        <f aca="false">IF(OR(D53="",COUNT(J49:J52)&lt;COUNT($D$49:$D$52)),"",SUM(J49:J52)/D53)</f>
      </c>
      <c r="K53" s="37">
        <f aca="false">IF(OR(D53="",COUNT(K49:K52)&lt;COUNT($D$49:$D$52)),"",SUM(K49:K52)/D53)</f>
      </c>
      <c r="L53" s="37">
        <f aca="false">IF(OR(D53="",COUNT(L49:L52)&lt;COUNT($D$49:$D$52)),"",SUM(L49:L52)/D53)</f>
      </c>
      <c r="M53" s="37">
        <f aca="false">IF(OR(D53="",COUNT(M49:M52)&lt;COUNT($D$49:$D$52)),"",SUM(M49:M52)/D53)</f>
      </c>
      <c r="N53" s="37">
        <f aca="false">IF(OR(D53="",COUNT(N49:N52)&lt;COUNT($D$49:$D$52)),"",SUM(N49:N52)/D53)</f>
      </c>
      <c r="O53" s="37">
        <f aca="false">IF(OR(D53="",COUNT(O49:O52)&lt;COUNT($D$49:$D$52)),"",SUM(O49:O52)/D53)</f>
      </c>
      <c r="P53" s="37">
        <f aca="false">IF(OR(D53="",COUNT(P49:P52)&lt;COUNT($D$49:$D$52)),"",SUM(P49:P52)/D53)</f>
      </c>
      <c r="Q53" s="37">
        <f aca="false">IF(OR(D53="",COUNT(Q49:Q52)&lt;COUNT($D$49:$D$52)),"",SUM(Q49:Q52)/D53)</f>
      </c>
      <c r="R53" s="15">
        <f aca="false">IF(COUNT(H53:Q53)=0,"",COUNT(H53:Q53))</f>
      </c>
      <c r="S53" s="41"/>
      <c r="T53" s="37">
        <f aca="false">IF(COUNT(H53:Q53)=0,"",IFERROR(INDEX(H53:Q53,MATCH(TRUE(),INDEX(ISNUMBER(H53:Q53),0),0)),""))</f>
      </c>
      <c r="U53" s="37">
        <f aca="false">IF(COUNT(H53:Q53)=0,"",AVERAGE(H53:Q53))</f>
      </c>
      <c r="V53" s="37">
        <f aca="false">IF(COUNT(H53:Q53)=0,"",MAX(H53:Q53))</f>
      </c>
      <c r="W53" s="38">
        <f aca="false">IF(OR(E53="",U53=""),"",U53-E53)</f>
      </c>
      <c r="X53" s="41"/>
    </row>
    <row r="54" customFormat="false" ht="18.75" hidden="false" customHeight="true" outlineLevel="0" collapsed="false">
      <c r="A54" s="42"/>
      <c r="B54" s="43"/>
      <c r="C54" s="44"/>
      <c r="D54" s="45"/>
      <c r="E54" s="46"/>
      <c r="F54" s="45"/>
      <c r="G54" s="47"/>
      <c r="H54" s="45"/>
      <c r="I54" s="45"/>
      <c r="J54" s="45"/>
      <c r="K54" s="45"/>
      <c r="L54" s="45"/>
      <c r="M54" s="45"/>
      <c r="N54" s="45"/>
      <c r="O54" s="45"/>
      <c r="P54" s="45"/>
      <c r="Q54" s="45"/>
      <c r="R54" s="30">
        <f aca="false">IF(COUNT(H54:Q54)=0,"",COUNT(H54:Q54))</f>
      </c>
      <c r="S54" s="30">
        <f aca="false">IF(F54="","",MAX(0,F54-COUNT(H54:Q54)))</f>
      </c>
      <c r="T54" s="31">
        <f aca="false">IF(OR(D54="",COUNT(H54:Q54)=0),"",IFERROR(INDEX(H54:Q54,MATCH(TRUE(),INDEX(ISNUMBER(H54:Q54),0),0)),"")/D54)</f>
      </c>
      <c r="U54" s="31">
        <f aca="false">IF(OR(D54="",COUNT(H54:Q54)=0),"",AVERAGE(H54:Q54)/D54)</f>
      </c>
      <c r="V54" s="31">
        <f aca="false">IF(OR(D54="",COUNT(H54:Q54)=0),"",MAX(H54:Q54)/D54)</f>
      </c>
      <c r="W54" s="32">
        <f aca="false">IF(OR(E54="",U54=""),"",U54-E54)</f>
      </c>
      <c r="X54" s="33">
        <f aca="false">IF(OR(F54="",G54=""),"",IF(S54=0,"完了",IF(G54&lt;=$F$5,"期限超過",ROUND(S54/((G54-$F$5)/7),1))))</f>
      </c>
    </row>
    <row r="55" customFormat="false" ht="18.75" hidden="false" customHeight="true" outlineLevel="0" collapsed="false">
      <c r="A55" s="42"/>
      <c r="B55" s="42"/>
      <c r="C55" s="48"/>
      <c r="D55" s="49"/>
      <c r="E55" s="50"/>
      <c r="F55" s="49"/>
      <c r="G55" s="51"/>
      <c r="H55" s="49"/>
      <c r="I55" s="49"/>
      <c r="J55" s="49"/>
      <c r="K55" s="49"/>
      <c r="L55" s="49"/>
      <c r="M55" s="49"/>
      <c r="N55" s="49"/>
      <c r="O55" s="49"/>
      <c r="P55" s="49"/>
      <c r="Q55" s="49"/>
      <c r="R55" s="15">
        <f aca="false">IF(COUNT(H55:Q55)=0,"",COUNT(H55:Q55))</f>
      </c>
      <c r="S55" s="15">
        <f aca="false">IF(F55="","",MAX(0,F55-COUNT(H55:Q55)))</f>
      </c>
      <c r="T55" s="37">
        <f aca="false">IF(OR(D55="",COUNT(H55:Q55)=0),"",IFERROR(INDEX(H55:Q55,MATCH(TRUE(),INDEX(ISNUMBER(H55:Q55),0),0)),"")/D55)</f>
      </c>
      <c r="U55" s="37">
        <f aca="false">IF(OR(D55="",COUNT(H55:Q55)=0),"",AVERAGE(H55:Q55)/D55)</f>
      </c>
      <c r="V55" s="37">
        <f aca="false">IF(OR(D55="",COUNT(H55:Q55)=0),"",MAX(H55:Q55)/D55)</f>
      </c>
      <c r="W55" s="38">
        <f aca="false">IF(OR(E55="",U55=""),"",U55-E55)</f>
      </c>
      <c r="X55" s="39">
        <f aca="false">IF(OR(F55="",G55=""),"",IF(S55=0,"完了",IF(G55&lt;=$F$5,"期限超過",ROUND(S55/((G55-$F$5)/7),1))))</f>
      </c>
    </row>
    <row r="56" customFormat="false" ht="18.75" hidden="false" customHeight="true" outlineLevel="0" collapsed="false">
      <c r="A56" s="42"/>
      <c r="B56" s="42"/>
      <c r="C56" s="48"/>
      <c r="D56" s="49"/>
      <c r="E56" s="50"/>
      <c r="F56" s="49"/>
      <c r="G56" s="51"/>
      <c r="H56" s="49"/>
      <c r="I56" s="49"/>
      <c r="J56" s="49"/>
      <c r="K56" s="49"/>
      <c r="L56" s="49"/>
      <c r="M56" s="49"/>
      <c r="N56" s="49"/>
      <c r="O56" s="49"/>
      <c r="P56" s="49"/>
      <c r="Q56" s="49"/>
      <c r="R56" s="15">
        <f aca="false">IF(COUNT(H56:Q56)=0,"",COUNT(H56:Q56))</f>
      </c>
      <c r="S56" s="15">
        <f aca="false">IF(F56="","",MAX(0,F56-COUNT(H56:Q56)))</f>
      </c>
      <c r="T56" s="37">
        <f aca="false">IF(OR(D56="",COUNT(H56:Q56)=0),"",IFERROR(INDEX(H56:Q56,MATCH(TRUE(),INDEX(ISNUMBER(H56:Q56),0),0)),"")/D56)</f>
      </c>
      <c r="U56" s="37">
        <f aca="false">IF(OR(D56="",COUNT(H56:Q56)=0),"",AVERAGE(H56:Q56)/D56)</f>
      </c>
      <c r="V56" s="37">
        <f aca="false">IF(OR(D56="",COUNT(H56:Q56)=0),"",MAX(H56:Q56)/D56)</f>
      </c>
      <c r="W56" s="38">
        <f aca="false">IF(OR(E56="",U56=""),"",U56-E56)</f>
      </c>
      <c r="X56" s="39">
        <f aca="false">IF(OR(F56="",G56=""),"",IF(S56=0,"完了",IF(G56&lt;=$F$5,"期限超過",ROUND(S56/((G56-$F$5)/7),1))))</f>
      </c>
    </row>
    <row r="57" customFormat="false" ht="18.75" hidden="false" customHeight="true" outlineLevel="0" collapsed="false">
      <c r="A57" s="42"/>
      <c r="B57" s="42"/>
      <c r="C57" s="48"/>
      <c r="D57" s="49"/>
      <c r="E57" s="50"/>
      <c r="F57" s="49"/>
      <c r="G57" s="51"/>
      <c r="H57" s="49"/>
      <c r="I57" s="49"/>
      <c r="J57" s="49"/>
      <c r="K57" s="49"/>
      <c r="L57" s="49"/>
      <c r="M57" s="49"/>
      <c r="N57" s="49"/>
      <c r="O57" s="49"/>
      <c r="P57" s="49"/>
      <c r="Q57" s="49"/>
      <c r="R57" s="15">
        <f aca="false">IF(COUNT(H57:Q57)=0,"",COUNT(H57:Q57))</f>
      </c>
      <c r="S57" s="15">
        <f aca="false">IF(F57="","",MAX(0,F57-COUNT(H57:Q57)))</f>
      </c>
      <c r="T57" s="37">
        <f aca="false">IF(OR(D57="",COUNT(H57:Q57)=0),"",IFERROR(INDEX(H57:Q57,MATCH(TRUE(),INDEX(ISNUMBER(H57:Q57),0),0)),"")/D57)</f>
      </c>
      <c r="U57" s="37">
        <f aca="false">IF(OR(D57="",COUNT(H57:Q57)=0),"",AVERAGE(H57:Q57)/D57)</f>
      </c>
      <c r="V57" s="37">
        <f aca="false">IF(OR(D57="",COUNT(H57:Q57)=0),"",MAX(H57:Q57)/D57)</f>
      </c>
      <c r="W57" s="38">
        <f aca="false">IF(OR(E57="",U57=""),"",U57-E57)</f>
      </c>
      <c r="X57" s="39">
        <f aca="false">IF(OR(F57="",G57=""),"",IF(S57=0,"完了",IF(G57&lt;=$F$5,"期限超過",ROUND(S57/((G57-$F$5)/7),1))))</f>
      </c>
    </row>
    <row r="58" customFormat="false" ht="18.75" hidden="false" customHeight="true" outlineLevel="0" collapsed="false">
      <c r="A58" s="42"/>
      <c r="B58" s="42"/>
      <c r="C58" s="40" t="s">
        <v>119</v>
      </c>
      <c r="D58" s="15">
        <f aca="false">IF(SUM(D54:D57)=0,"",SUM(D54:D57))</f>
      </c>
      <c r="E58" s="50"/>
      <c r="F58" s="41"/>
      <c r="G58" s="41"/>
      <c r="H58" s="37">
        <f aca="false">IF(OR(D58="",COUNT(H54:H57)&lt;COUNT($D$54:$D$57)),"",SUM(H54:H57)/D58)</f>
      </c>
      <c r="I58" s="37">
        <f aca="false">IF(OR(D58="",COUNT(I54:I57)&lt;COUNT($D$54:$D$57)),"",SUM(I54:I57)/D58)</f>
      </c>
      <c r="J58" s="37">
        <f aca="false">IF(OR(D58="",COUNT(J54:J57)&lt;COUNT($D$54:$D$57)),"",SUM(J54:J57)/D58)</f>
      </c>
      <c r="K58" s="37">
        <f aca="false">IF(OR(D58="",COUNT(K54:K57)&lt;COUNT($D$54:$D$57)),"",SUM(K54:K57)/D58)</f>
      </c>
      <c r="L58" s="37">
        <f aca="false">IF(OR(D58="",COUNT(L54:L57)&lt;COUNT($D$54:$D$57)),"",SUM(L54:L57)/D58)</f>
      </c>
      <c r="M58" s="37">
        <f aca="false">IF(OR(D58="",COUNT(M54:M57)&lt;COUNT($D$54:$D$57)),"",SUM(M54:M57)/D58)</f>
      </c>
      <c r="N58" s="37">
        <f aca="false">IF(OR(D58="",COUNT(N54:N57)&lt;COUNT($D$54:$D$57)),"",SUM(N54:N57)/D58)</f>
      </c>
      <c r="O58" s="37">
        <f aca="false">IF(OR(D58="",COUNT(O54:O57)&lt;COUNT($D$54:$D$57)),"",SUM(O54:O57)/D58)</f>
      </c>
      <c r="P58" s="37">
        <f aca="false">IF(OR(D58="",COUNT(P54:P57)&lt;COUNT($D$54:$D$57)),"",SUM(P54:P57)/D58)</f>
      </c>
      <c r="Q58" s="37">
        <f aca="false">IF(OR(D58="",COUNT(Q54:Q57)&lt;COUNT($D$54:$D$57)),"",SUM(Q54:Q57)/D58)</f>
      </c>
      <c r="R58" s="15">
        <f aca="false">IF(COUNT(H58:Q58)=0,"",COUNT(H58:Q58))</f>
      </c>
      <c r="S58" s="41"/>
      <c r="T58" s="37">
        <f aca="false">IF(COUNT(H58:Q58)=0,"",IFERROR(INDEX(H58:Q58,MATCH(TRUE(),INDEX(ISNUMBER(H58:Q58),0),0)),""))</f>
      </c>
      <c r="U58" s="37">
        <f aca="false">IF(COUNT(H58:Q58)=0,"",AVERAGE(H58:Q58))</f>
      </c>
      <c r="V58" s="37">
        <f aca="false">IF(COUNT(H58:Q58)=0,"",MAX(H58:Q58))</f>
      </c>
      <c r="W58" s="38">
        <f aca="false">IF(OR(E58="",U58=""),"",U58-E58)</f>
      </c>
      <c r="X58" s="41"/>
    </row>
    <row r="59" customFormat="false" ht="18.75" hidden="false" customHeight="true" outlineLevel="0" collapsed="false">
      <c r="A59" s="52"/>
      <c r="B59" s="47"/>
      <c r="C59" s="44"/>
      <c r="D59" s="45"/>
      <c r="E59" s="46"/>
      <c r="F59" s="45"/>
      <c r="G59" s="47"/>
      <c r="H59" s="45"/>
      <c r="I59" s="45"/>
      <c r="J59" s="45"/>
      <c r="K59" s="45"/>
      <c r="L59" s="45"/>
      <c r="M59" s="45"/>
      <c r="N59" s="45"/>
      <c r="O59" s="45"/>
      <c r="P59" s="45"/>
      <c r="Q59" s="45"/>
      <c r="R59" s="30">
        <f aca="false">IF(COUNT(H59:Q59)=0,"",COUNT(H59:Q59))</f>
      </c>
      <c r="S59" s="30">
        <f aca="false">IF(F59="","",MAX(0,F59-COUNT(H59:Q59)))</f>
      </c>
      <c r="T59" s="31">
        <f aca="false">IF(OR(D59="",COUNT(H59:Q59)=0),"",IFERROR(INDEX(H59:Q59,MATCH(TRUE(),INDEX(ISNUMBER(H59:Q59),0),0)),"")/D59)</f>
      </c>
      <c r="U59" s="31">
        <f aca="false">IF(OR(D59="",COUNT(H59:Q59)=0),"",AVERAGE(H59:Q59)/D59)</f>
      </c>
      <c r="V59" s="31">
        <f aca="false">IF(OR(D59="",COUNT(H59:Q59)=0),"",MAX(H59:Q59)/D59)</f>
      </c>
      <c r="W59" s="32">
        <f aca="false">IF(OR(E59="",U59=""),"",U59-E59)</f>
      </c>
      <c r="X59" s="33">
        <f aca="false">IF(OR(F59="",G59=""),"",IF(S59=0,"完了",IF(G59&lt;=$F$5,"期限超過",ROUND(S59/((G59-$F$5)/7),1))))</f>
      </c>
    </row>
    <row r="60" customFormat="false" ht="18.75" hidden="false" customHeight="true" outlineLevel="0" collapsed="false">
      <c r="A60" s="52"/>
      <c r="B60" s="52"/>
      <c r="C60" s="48"/>
      <c r="D60" s="49"/>
      <c r="E60" s="50"/>
      <c r="F60" s="49"/>
      <c r="G60" s="51"/>
      <c r="H60" s="49"/>
      <c r="I60" s="49"/>
      <c r="J60" s="49"/>
      <c r="K60" s="49"/>
      <c r="L60" s="49"/>
      <c r="M60" s="49"/>
      <c r="N60" s="49"/>
      <c r="O60" s="49"/>
      <c r="P60" s="49"/>
      <c r="Q60" s="49"/>
      <c r="R60" s="15">
        <f aca="false">IF(COUNT(H60:Q60)=0,"",COUNT(H60:Q60))</f>
      </c>
      <c r="S60" s="15">
        <f aca="false">IF(F60="","",MAX(0,F60-COUNT(H60:Q60)))</f>
      </c>
      <c r="T60" s="37">
        <f aca="false">IF(OR(D60="",COUNT(H60:Q60)=0),"",IFERROR(INDEX(H60:Q60,MATCH(TRUE(),INDEX(ISNUMBER(H60:Q60),0),0)),"")/D60)</f>
      </c>
      <c r="U60" s="37">
        <f aca="false">IF(OR(D60="",COUNT(H60:Q60)=0),"",AVERAGE(H60:Q60)/D60)</f>
      </c>
      <c r="V60" s="37">
        <f aca="false">IF(OR(D60="",COUNT(H60:Q60)=0),"",MAX(H60:Q60)/D60)</f>
      </c>
      <c r="W60" s="38">
        <f aca="false">IF(OR(E60="",U60=""),"",U60-E60)</f>
      </c>
      <c r="X60" s="39">
        <f aca="false">IF(OR(F60="",G60=""),"",IF(S60=0,"完了",IF(G60&lt;=$F$5,"期限超過",ROUND(S60/((G60-$F$5)/7),1))))</f>
      </c>
    </row>
    <row r="61" customFormat="false" ht="18.75" hidden="false" customHeight="true" outlineLevel="0" collapsed="false">
      <c r="A61" s="52"/>
      <c r="B61" s="52"/>
      <c r="C61" s="48"/>
      <c r="D61" s="49"/>
      <c r="E61" s="50"/>
      <c r="F61" s="49"/>
      <c r="G61" s="51"/>
      <c r="H61" s="49"/>
      <c r="I61" s="49"/>
      <c r="J61" s="49"/>
      <c r="K61" s="49"/>
      <c r="L61" s="49"/>
      <c r="M61" s="49"/>
      <c r="N61" s="49"/>
      <c r="O61" s="49"/>
      <c r="P61" s="49"/>
      <c r="Q61" s="49"/>
      <c r="R61" s="15">
        <f aca="false">IF(COUNT(H61:Q61)=0,"",COUNT(H61:Q61))</f>
      </c>
      <c r="S61" s="15">
        <f aca="false">IF(F61="","",MAX(0,F61-COUNT(H61:Q61)))</f>
      </c>
      <c r="T61" s="37">
        <f aca="false">IF(OR(D61="",COUNT(H61:Q61)=0),"",IFERROR(INDEX(H61:Q61,MATCH(TRUE(),INDEX(ISNUMBER(H61:Q61),0),0)),"")/D61)</f>
      </c>
      <c r="U61" s="37">
        <f aca="false">IF(OR(D61="",COUNT(H61:Q61)=0),"",AVERAGE(H61:Q61)/D61)</f>
      </c>
      <c r="V61" s="37">
        <f aca="false">IF(OR(D61="",COUNT(H61:Q61)=0),"",MAX(H61:Q61)/D61)</f>
      </c>
      <c r="W61" s="38">
        <f aca="false">IF(OR(E61="",U61=""),"",U61-E61)</f>
      </c>
      <c r="X61" s="39">
        <f aca="false">IF(OR(F61="",G61=""),"",IF(S61=0,"完了",IF(G61&lt;=$F$5,"期限超過",ROUND(S61/((G61-$F$5)/7),1))))</f>
      </c>
    </row>
    <row r="62" customFormat="false" ht="18.75" hidden="false" customHeight="true" outlineLevel="0" collapsed="false">
      <c r="A62" s="52"/>
      <c r="B62" s="52"/>
      <c r="C62" s="48"/>
      <c r="D62" s="49"/>
      <c r="E62" s="50"/>
      <c r="F62" s="49"/>
      <c r="G62" s="51"/>
      <c r="H62" s="49"/>
      <c r="I62" s="49"/>
      <c r="J62" s="49"/>
      <c r="K62" s="49"/>
      <c r="L62" s="49"/>
      <c r="M62" s="49"/>
      <c r="N62" s="49"/>
      <c r="O62" s="49"/>
      <c r="P62" s="49"/>
      <c r="Q62" s="49"/>
      <c r="R62" s="15">
        <f aca="false">IF(COUNT(H62:Q62)=0,"",COUNT(H62:Q62))</f>
      </c>
      <c r="S62" s="15">
        <f aca="false">IF(F62="","",MAX(0,F62-COUNT(H62:Q62)))</f>
      </c>
      <c r="T62" s="37">
        <f aca="false">IF(OR(D62="",COUNT(H62:Q62)=0),"",IFERROR(INDEX(H62:Q62,MATCH(TRUE(),INDEX(ISNUMBER(H62:Q62),0),0)),"")/D62)</f>
      </c>
      <c r="U62" s="37">
        <f aca="false">IF(OR(D62="",COUNT(H62:Q62)=0),"",AVERAGE(H62:Q62)/D62)</f>
      </c>
      <c r="V62" s="37">
        <f aca="false">IF(OR(D62="",COUNT(H62:Q62)=0),"",MAX(H62:Q62)/D62)</f>
      </c>
      <c r="W62" s="38">
        <f aca="false">IF(OR(E62="",U62=""),"",U62-E62)</f>
      </c>
      <c r="X62" s="39">
        <f aca="false">IF(OR(F62="",G62=""),"",IF(S62=0,"完了",IF(G62&lt;=$F$5,"期限超過",ROUND(S62/((G62-$F$5)/7),1))))</f>
      </c>
    </row>
    <row r="63" customFormat="false" ht="18.75" hidden="false" customHeight="true" outlineLevel="0" collapsed="false">
      <c r="A63" s="52"/>
      <c r="B63" s="52"/>
      <c r="C63" s="40" t="s">
        <v>119</v>
      </c>
      <c r="D63" s="15">
        <f aca="false">IF(SUM(D59:D62)=0,"",SUM(D59:D62))</f>
      </c>
      <c r="E63" s="50"/>
      <c r="F63" s="41"/>
      <c r="G63" s="41"/>
      <c r="H63" s="37">
        <f aca="false">IF(OR(D63="",COUNT(H59:H62)&lt;COUNT($D$59:$D$62)),"",SUM(H59:H62)/D63)</f>
      </c>
      <c r="I63" s="37">
        <f aca="false">IF(OR(D63="",COUNT(I59:I62)&lt;COUNT($D$59:$D$62)),"",SUM(I59:I62)/D63)</f>
      </c>
      <c r="J63" s="37">
        <f aca="false">IF(OR(D63="",COUNT(J59:J62)&lt;COUNT($D$59:$D$62)),"",SUM(J59:J62)/D63)</f>
      </c>
      <c r="K63" s="37">
        <f aca="false">IF(OR(D63="",COUNT(K59:K62)&lt;COUNT($D$59:$D$62)),"",SUM(K59:K62)/D63)</f>
      </c>
      <c r="L63" s="37">
        <f aca="false">IF(OR(D63="",COUNT(L59:L62)&lt;COUNT($D$59:$D$62)),"",SUM(L59:L62)/D63)</f>
      </c>
      <c r="M63" s="37">
        <f aca="false">IF(OR(D63="",COUNT(M59:M62)&lt;COUNT($D$59:$D$62)),"",SUM(M59:M62)/D63)</f>
      </c>
      <c r="N63" s="37">
        <f aca="false">IF(OR(D63="",COUNT(N59:N62)&lt;COUNT($D$59:$D$62)),"",SUM(N59:N62)/D63)</f>
      </c>
      <c r="O63" s="37">
        <f aca="false">IF(OR(D63="",COUNT(O59:O62)&lt;COUNT($D$59:$D$62)),"",SUM(O59:O62)/D63)</f>
      </c>
      <c r="P63" s="37">
        <f aca="false">IF(OR(D63="",COUNT(P59:P62)&lt;COUNT($D$59:$D$62)),"",SUM(P59:P62)/D63)</f>
      </c>
      <c r="Q63" s="37">
        <f aca="false">IF(OR(D63="",COUNT(Q59:Q62)&lt;COUNT($D$59:$D$62)),"",SUM(Q59:Q62)/D63)</f>
      </c>
      <c r="R63" s="15">
        <f aca="false">IF(COUNT(H63:Q63)=0,"",COUNT(H63:Q63))</f>
      </c>
      <c r="S63" s="41"/>
      <c r="T63" s="37">
        <f aca="false">IF(COUNT(H63:Q63)=0,"",IFERROR(INDEX(H63:Q63,MATCH(TRUE(),INDEX(ISNUMBER(H63:Q63),0),0)),""))</f>
      </c>
      <c r="U63" s="37">
        <f aca="false">IF(COUNT(H63:Q63)=0,"",AVERAGE(H63:Q63))</f>
      </c>
      <c r="V63" s="37">
        <f aca="false">IF(COUNT(H63:Q63)=0,"",MAX(H63:Q63))</f>
      </c>
      <c r="W63" s="38">
        <f aca="false">IF(OR(E63="",U63=""),"",U63-E63)</f>
      </c>
      <c r="X63" s="41"/>
    </row>
    <row r="64" customFormat="false" ht="13.8" hidden="false" customHeight="false" outlineLevel="0" collapsed="false"/>
    <row r="65" customFormat="false" ht="31.5" hidden="false" customHeight="true" outlineLevel="0" collapsed="false">
      <c r="A65" s="3" t="s">
        <v>124</v>
      </c>
      <c r="B65" s="3"/>
      <c r="C65" s="3"/>
      <c r="D65" s="3"/>
      <c r="E65" s="3"/>
      <c r="F65" s="3"/>
      <c r="G65" s="3"/>
      <c r="H65" s="3"/>
      <c r="I65" s="3"/>
      <c r="J65" s="3"/>
      <c r="K65" s="3"/>
      <c r="L65" s="3"/>
      <c r="M65" s="3"/>
      <c r="N65" s="3"/>
      <c r="O65" s="3"/>
      <c r="P65" s="3"/>
      <c r="Q65" s="3"/>
      <c r="R65" s="3"/>
      <c r="S65" s="3"/>
      <c r="T65" s="3"/>
      <c r="U65" s="3"/>
      <c r="V65" s="3"/>
      <c r="W65" s="3"/>
      <c r="X65" s="3"/>
    </row>
    <row r="66" customFormat="false" ht="18" hidden="false" customHeight="true" outlineLevel="0" collapsed="false">
      <c r="A66" s="3" t="s">
        <v>125</v>
      </c>
      <c r="B66" s="3"/>
      <c r="C66" s="3"/>
      <c r="D66" s="3"/>
      <c r="E66" s="3"/>
      <c r="F66" s="3"/>
      <c r="G66" s="3"/>
      <c r="H66" s="3"/>
      <c r="I66" s="3"/>
      <c r="J66" s="3"/>
      <c r="K66" s="3"/>
      <c r="L66" s="3"/>
      <c r="M66" s="3"/>
      <c r="N66" s="3"/>
      <c r="O66" s="3"/>
      <c r="P66" s="3"/>
      <c r="Q66" s="3"/>
      <c r="R66" s="3"/>
      <c r="S66" s="3"/>
      <c r="T66" s="3"/>
      <c r="U66" s="3"/>
      <c r="V66" s="3"/>
      <c r="W66" s="3"/>
      <c r="X66" s="3"/>
    </row>
  </sheetData>
  <sheetProtection sheet="true" objects="true" scenarios="true"/>
  <mergeCells count="39">
    <mergeCell ref="A1:X1"/>
    <mergeCell ref="A2:X2"/>
    <mergeCell ref="A4:X4"/>
    <mergeCell ref="B5:D5"/>
    <mergeCell ref="F5:G5"/>
    <mergeCell ref="H5:O5"/>
    <mergeCell ref="A7:A8"/>
    <mergeCell ref="B7:B8"/>
    <mergeCell ref="C7:C8"/>
    <mergeCell ref="D7:D8"/>
    <mergeCell ref="E7:E8"/>
    <mergeCell ref="F7:F8"/>
    <mergeCell ref="G7:G8"/>
    <mergeCell ref="H7:Q7"/>
    <mergeCell ref="R7:X7"/>
    <mergeCell ref="A9:A13"/>
    <mergeCell ref="B9:B13"/>
    <mergeCell ref="A14:A18"/>
    <mergeCell ref="B14:B18"/>
    <mergeCell ref="A19:A23"/>
    <mergeCell ref="B19:B23"/>
    <mergeCell ref="A24:A28"/>
    <mergeCell ref="B24:B28"/>
    <mergeCell ref="A29:A33"/>
    <mergeCell ref="B29:B33"/>
    <mergeCell ref="A34:A38"/>
    <mergeCell ref="B34:B38"/>
    <mergeCell ref="A39:A43"/>
    <mergeCell ref="B39:B43"/>
    <mergeCell ref="A44:A48"/>
    <mergeCell ref="B44:B48"/>
    <mergeCell ref="A49:A53"/>
    <mergeCell ref="B49:B53"/>
    <mergeCell ref="A54:A58"/>
    <mergeCell ref="B54:B58"/>
    <mergeCell ref="A59:A63"/>
    <mergeCell ref="B59:B63"/>
    <mergeCell ref="A65:X65"/>
    <mergeCell ref="A66:X66"/>
  </mergeCells>
  <conditionalFormatting sqref="X44:X47">
    <cfRule type="expression" priority="2" aboveAverage="0" equalAverage="0" bottom="0" percent="0" rank="0" text="" dxfId="0">
      <formula>X44="期限超過"</formula>
    </cfRule>
  </conditionalFormatting>
  <conditionalFormatting sqref="H44:Q47">
    <cfRule type="expression" priority="3" aboveAverage="0" equalAverage="0" bottom="0" percent="0" rank="0" text="" dxfId="0">
      <formula>AND(ISNUMBER(H44),$D44&gt;0,$E44&lt;&gt;"",H44/$D44&gt;=$E44)</formula>
    </cfRule>
    <cfRule type="expression" priority="4" aboveAverage="0" equalAverage="0" bottom="0" percent="0" rank="0" text="" dxfId="1">
      <formula>AND(ISNUMBER(H44),$D44&gt;0,$E44&lt;&gt;"")</formula>
    </cfRule>
    <cfRule type="expression" priority="5" aboveAverage="0" equalAverage="0" bottom="0" percent="0" rank="0" text="" dxfId="2">
      <formula>AND(NOT(ISNUMBER(H44)),$F44&lt;&gt;"",COLUMN(H44)-8+1&gt;$F44)</formula>
    </cfRule>
  </conditionalFormatting>
  <conditionalFormatting sqref="H48:Q48">
    <cfRule type="expression" priority="6" aboveAverage="0" equalAverage="0" bottom="0" percent="0" rank="0" text="" dxfId="0">
      <formula>AND(ISNUMBER(H48),$E48&lt;&gt;"",H48&gt;=$E48)</formula>
    </cfRule>
  </conditionalFormatting>
  <conditionalFormatting sqref="H49:Q52">
    <cfRule type="expression" priority="7" aboveAverage="0" equalAverage="0" bottom="0" percent="0" rank="0" text="" dxfId="0">
      <formula>AND(ISNUMBER(H49),$D49&gt;0,$E49&lt;&gt;"",H49/$D49&gt;=$E49)</formula>
    </cfRule>
    <cfRule type="expression" priority="8" aboveAverage="0" equalAverage="0" bottom="0" percent="0" rank="0" text="" dxfId="1">
      <formula>AND(ISNUMBER(H49),$D49&gt;0,$E49&lt;&gt;"")</formula>
    </cfRule>
    <cfRule type="expression" priority="9" aboveAverage="0" equalAverage="0" bottom="0" percent="0" rank="0" text="" dxfId="2">
      <formula>AND(NOT(ISNUMBER(H49)),$F49&lt;&gt;"",COLUMN(H49)-8+1&gt;$F49)</formula>
    </cfRule>
  </conditionalFormatting>
  <conditionalFormatting sqref="X49:X52">
    <cfRule type="expression" priority="10" aboveAverage="0" equalAverage="0" bottom="0" percent="0" rank="0" text="" dxfId="0">
      <formula>X49="期限超過"</formula>
    </cfRule>
  </conditionalFormatting>
  <conditionalFormatting sqref="H53:Q53">
    <cfRule type="expression" priority="11" aboveAverage="0" equalAverage="0" bottom="0" percent="0" rank="0" text="" dxfId="0">
      <formula>AND(ISNUMBER(H53),$E53&lt;&gt;"",H53&gt;=$E53)</formula>
    </cfRule>
  </conditionalFormatting>
  <conditionalFormatting sqref="H54:Q57">
    <cfRule type="expression" priority="12" aboveAverage="0" equalAverage="0" bottom="0" percent="0" rank="0" text="" dxfId="0">
      <formula>AND(ISNUMBER(H54),$D54&gt;0,$E54&lt;&gt;"",H54/$D54&gt;=$E54)</formula>
    </cfRule>
    <cfRule type="expression" priority="13" aboveAverage="0" equalAverage="0" bottom="0" percent="0" rank="0" text="" dxfId="1">
      <formula>AND(ISNUMBER(H54),$D54&gt;0,$E54&lt;&gt;"")</formula>
    </cfRule>
    <cfRule type="expression" priority="14" aboveAverage="0" equalAverage="0" bottom="0" percent="0" rank="0" text="" dxfId="2">
      <formula>AND(NOT(ISNUMBER(H54)),$F54&lt;&gt;"",COLUMN(H54)-8+1&gt;$F54)</formula>
    </cfRule>
  </conditionalFormatting>
  <conditionalFormatting sqref="H58:Q58">
    <cfRule type="expression" priority="15" aboveAverage="0" equalAverage="0" bottom="0" percent="0" rank="0" text="" dxfId="0">
      <formula>AND(ISNUMBER(H58),$E58&lt;&gt;"",H58&gt;=$E58)</formula>
    </cfRule>
  </conditionalFormatting>
  <conditionalFormatting sqref="X54:X57">
    <cfRule type="expression" priority="16" aboveAverage="0" equalAverage="0" bottom="0" percent="0" rank="0" text="" dxfId="0">
      <formula>X54="期限超過"</formula>
    </cfRule>
  </conditionalFormatting>
  <conditionalFormatting sqref="H59:Q62">
    <cfRule type="expression" priority="17" aboveAverage="0" equalAverage="0" bottom="0" percent="0" rank="0" text="" dxfId="0">
      <formula>AND(ISNUMBER(H59),$D59&gt;0,$E59&lt;&gt;"",H59/$D59&gt;=$E59)</formula>
    </cfRule>
    <cfRule type="expression" priority="18" aboveAverage="0" equalAverage="0" bottom="0" percent="0" rank="0" text="" dxfId="1">
      <formula>AND(ISNUMBER(H59),$D59&gt;0,$E59&lt;&gt;"")</formula>
    </cfRule>
    <cfRule type="expression" priority="19" aboveAverage="0" equalAverage="0" bottom="0" percent="0" rank="0" text="" dxfId="2">
      <formula>AND(NOT(ISNUMBER(H59)),$F59&lt;&gt;"",COLUMN(H59)-8+1&gt;$F59)</formula>
    </cfRule>
  </conditionalFormatting>
  <conditionalFormatting sqref="H63:Q63">
    <cfRule type="expression" priority="20" aboveAverage="0" equalAverage="0" bottom="0" percent="0" rank="0" text="" dxfId="0">
      <formula>AND(ISNUMBER(H63),$E63&lt;&gt;"",H63&gt;=$E63)</formula>
    </cfRule>
  </conditionalFormatting>
  <conditionalFormatting sqref="X59:X62">
    <cfRule type="expression" priority="21" aboveAverage="0" equalAverage="0" bottom="0" percent="0" rank="0" text="" dxfId="0">
      <formula>X59="期限超過"</formula>
    </cfRule>
  </conditionalFormatting>
  <conditionalFormatting sqref="H9:Q12">
    <cfRule type="expression" priority="22" aboveAverage="0" equalAverage="0" bottom="0" percent="0" rank="0" text="" dxfId="0">
      <formula>AND(ISNUMBER(H9),$D9&gt;0,$E9&lt;&gt;"",H9/$D9&gt;=$E9)</formula>
    </cfRule>
    <cfRule type="expression" priority="23" aboveAverage="0" equalAverage="0" bottom="0" percent="0" rank="0" text="" dxfId="1">
      <formula>AND(ISNUMBER(H9),$D9&gt;0,$E9&lt;&gt;"")</formula>
    </cfRule>
    <cfRule type="expression" priority="24" aboveAverage="0" equalAverage="0" bottom="0" percent="0" rank="0" text="" dxfId="2">
      <formula>AND(NOT(ISNUMBER(H9)),$F9&lt;&gt;"",COLUMN(H9)-8+1&gt;$F9)</formula>
    </cfRule>
  </conditionalFormatting>
  <conditionalFormatting sqref="X9:X12">
    <cfRule type="expression" priority="25" aboveAverage="0" equalAverage="0" bottom="0" percent="0" rank="0" text="" dxfId="0">
      <formula>X9="期限超過"</formula>
    </cfRule>
  </conditionalFormatting>
  <conditionalFormatting sqref="H13:Q13">
    <cfRule type="expression" priority="26" aboveAverage="0" equalAverage="0" bottom="0" percent="0" rank="0" text="" dxfId="0">
      <formula>AND(ISNUMBER(H13),$E13&lt;&gt;"",H13&gt;=$E13)</formula>
    </cfRule>
  </conditionalFormatting>
  <conditionalFormatting sqref="H14:Q17">
    <cfRule type="expression" priority="27" aboveAverage="0" equalAverage="0" bottom="0" percent="0" rank="0" text="" dxfId="0">
      <formula>AND(ISNUMBER(H14),$D14&gt;0,$E14&lt;&gt;"",H14/$D14&gt;=$E14)</formula>
    </cfRule>
    <cfRule type="expression" priority="28" aboveAverage="0" equalAverage="0" bottom="0" percent="0" rank="0" text="" dxfId="1">
      <formula>AND(ISNUMBER(H14),$D14&gt;0,$E14&lt;&gt;"")</formula>
    </cfRule>
    <cfRule type="expression" priority="29" aboveAverage="0" equalAverage="0" bottom="0" percent="0" rank="0" text="" dxfId="2">
      <formula>AND(NOT(ISNUMBER(H14)),$F14&lt;&gt;"",COLUMN(H14)-8+1&gt;$F14)</formula>
    </cfRule>
  </conditionalFormatting>
  <conditionalFormatting sqref="X14:X17">
    <cfRule type="expression" priority="30" aboveAverage="0" equalAverage="0" bottom="0" percent="0" rank="0" text="" dxfId="0">
      <formula>X14="期限超過"</formula>
    </cfRule>
  </conditionalFormatting>
  <conditionalFormatting sqref="H18:Q18">
    <cfRule type="expression" priority="31" aboveAverage="0" equalAverage="0" bottom="0" percent="0" rank="0" text="" dxfId="0">
      <formula>AND(ISNUMBER(H18),$E18&lt;&gt;"",H18&gt;=$E18)</formula>
    </cfRule>
  </conditionalFormatting>
  <conditionalFormatting sqref="H19:Q22">
    <cfRule type="expression" priority="32" aboveAverage="0" equalAverage="0" bottom="0" percent="0" rank="0" text="" dxfId="0">
      <formula>AND(ISNUMBER(H19),$D19&gt;0,$E19&lt;&gt;"",H19/$D19&gt;=$E19)</formula>
    </cfRule>
    <cfRule type="expression" priority="33" aboveAverage="0" equalAverage="0" bottom="0" percent="0" rank="0" text="" dxfId="1">
      <formula>AND(ISNUMBER(H19),$D19&gt;0,$E19&lt;&gt;"")</formula>
    </cfRule>
    <cfRule type="expression" priority="34" aboveAverage="0" equalAverage="0" bottom="0" percent="0" rank="0" text="" dxfId="2">
      <formula>AND(NOT(ISNUMBER(H19)),$F19&lt;&gt;"",COLUMN(H19)-8+1&gt;$F19)</formula>
    </cfRule>
  </conditionalFormatting>
  <conditionalFormatting sqref="X19:X22">
    <cfRule type="expression" priority="35" aboveAverage="0" equalAverage="0" bottom="0" percent="0" rank="0" text="" dxfId="0">
      <formula>X19="期限超過"</formula>
    </cfRule>
  </conditionalFormatting>
  <conditionalFormatting sqref="H23:Q23">
    <cfRule type="expression" priority="36" aboveAverage="0" equalAverage="0" bottom="0" percent="0" rank="0" text="" dxfId="0">
      <formula>AND(ISNUMBER(H23),$E23&lt;&gt;"",H23&gt;=$E23)</formula>
    </cfRule>
  </conditionalFormatting>
  <conditionalFormatting sqref="X24:X27">
    <cfRule type="expression" priority="37" aboveAverage="0" equalAverage="0" bottom="0" percent="0" rank="0" text="" dxfId="0">
      <formula>X24="期限超過"</formula>
    </cfRule>
  </conditionalFormatting>
  <conditionalFormatting sqref="H24:Q27">
    <cfRule type="expression" priority="38" aboveAverage="0" equalAverage="0" bottom="0" percent="0" rank="0" text="" dxfId="0">
      <formula>AND(ISNUMBER(H24),$D24&gt;0,$E24&lt;&gt;"",H24/$D24&gt;=$E24)</formula>
    </cfRule>
    <cfRule type="expression" priority="39" aboveAverage="0" equalAverage="0" bottom="0" percent="0" rank="0" text="" dxfId="1">
      <formula>AND(ISNUMBER(H24),$D24&gt;0,$E24&lt;&gt;"")</formula>
    </cfRule>
    <cfRule type="expression" priority="40" aboveAverage="0" equalAverage="0" bottom="0" percent="0" rank="0" text="" dxfId="2">
      <formula>AND(NOT(ISNUMBER(H24)),$F24&lt;&gt;"",COLUMN(H24)-8+1&gt;$F24)</formula>
    </cfRule>
  </conditionalFormatting>
  <conditionalFormatting sqref="H28:Q28">
    <cfRule type="expression" priority="41" aboveAverage="0" equalAverage="0" bottom="0" percent="0" rank="0" text="" dxfId="0">
      <formula>AND(ISNUMBER(H28),$E28&lt;&gt;"",H28&gt;=$E28)</formula>
    </cfRule>
  </conditionalFormatting>
  <conditionalFormatting sqref="H29:Q32">
    <cfRule type="expression" priority="42" aboveAverage="0" equalAverage="0" bottom="0" percent="0" rank="0" text="" dxfId="0">
      <formula>AND(ISNUMBER(H29),$D29&gt;0,$E29&lt;&gt;"",H29/$D29&gt;=$E29)</formula>
    </cfRule>
    <cfRule type="expression" priority="43" aboveAverage="0" equalAverage="0" bottom="0" percent="0" rank="0" text="" dxfId="1">
      <formula>AND(ISNUMBER(H29),$D29&gt;0,$E29&lt;&gt;"")</formula>
    </cfRule>
    <cfRule type="expression" priority="44" aboveAverage="0" equalAverage="0" bottom="0" percent="0" rank="0" text="" dxfId="2">
      <formula>AND(NOT(ISNUMBER(H29)),$F29&lt;&gt;"",COLUMN(H29)-8+1&gt;$F29)</formula>
    </cfRule>
  </conditionalFormatting>
  <conditionalFormatting sqref="X29:X32">
    <cfRule type="expression" priority="45" aboveAverage="0" equalAverage="0" bottom="0" percent="0" rank="0" text="" dxfId="0">
      <formula>X29="期限超過"</formula>
    </cfRule>
  </conditionalFormatting>
  <conditionalFormatting sqref="H33:Q33">
    <cfRule type="expression" priority="46" aboveAverage="0" equalAverage="0" bottom="0" percent="0" rank="0" text="" dxfId="0">
      <formula>AND(ISNUMBER(H33),$E33&lt;&gt;"",H33&gt;=$E33)</formula>
    </cfRule>
  </conditionalFormatting>
  <conditionalFormatting sqref="X34:X37">
    <cfRule type="expression" priority="47" aboveAverage="0" equalAverage="0" bottom="0" percent="0" rank="0" text="" dxfId="0">
      <formula>X34="期限超過"</formula>
    </cfRule>
  </conditionalFormatting>
  <conditionalFormatting sqref="H34:Q37">
    <cfRule type="expression" priority="48" aboveAverage="0" equalAverage="0" bottom="0" percent="0" rank="0" text="" dxfId="0">
      <formula>AND(ISNUMBER(H34),$D34&gt;0,$E34&lt;&gt;"",H34/$D34&gt;=$E34)</formula>
    </cfRule>
    <cfRule type="expression" priority="49" aboveAverage="0" equalAverage="0" bottom="0" percent="0" rank="0" text="" dxfId="1">
      <formula>AND(ISNUMBER(H34),$D34&gt;0,$E34&lt;&gt;"")</formula>
    </cfRule>
    <cfRule type="expression" priority="50" aboveAverage="0" equalAverage="0" bottom="0" percent="0" rank="0" text="" dxfId="2">
      <formula>AND(NOT(ISNUMBER(H34)),$F34&lt;&gt;"",COLUMN(H34)-8+1&gt;$F34)</formula>
    </cfRule>
  </conditionalFormatting>
  <conditionalFormatting sqref="H38:Q38">
    <cfRule type="expression" priority="51" aboveAverage="0" equalAverage="0" bottom="0" percent="0" rank="0" text="" dxfId="0">
      <formula>AND(ISNUMBER(H38),$E38&lt;&gt;"",H38&gt;=$E38)</formula>
    </cfRule>
  </conditionalFormatting>
  <conditionalFormatting sqref="H39:Q42">
    <cfRule type="expression" priority="52" aboveAverage="0" equalAverage="0" bottom="0" percent="0" rank="0" text="" dxfId="0">
      <formula>AND(ISNUMBER(H39),$D39&gt;0,$E39&lt;&gt;"",H39/$D39&gt;=$E39)</formula>
    </cfRule>
    <cfRule type="expression" priority="53" aboveAverage="0" equalAverage="0" bottom="0" percent="0" rank="0" text="" dxfId="1">
      <formula>AND(ISNUMBER(H39),$D39&gt;0,$E39&lt;&gt;"")</formula>
    </cfRule>
    <cfRule type="expression" priority="54" aboveAverage="0" equalAverage="0" bottom="0" percent="0" rank="0" text="" dxfId="2">
      <formula>AND(NOT(ISNUMBER(H39)),$F39&lt;&gt;"",COLUMN(H39)-8+1&gt;$F39)</formula>
    </cfRule>
  </conditionalFormatting>
  <conditionalFormatting sqref="X39:X42">
    <cfRule type="expression" priority="55" aboveAverage="0" equalAverage="0" bottom="0" percent="0" rank="0" text="" dxfId="0">
      <formula>X39="期限超過"</formula>
    </cfRule>
  </conditionalFormatting>
  <conditionalFormatting sqref="H43:Q43">
    <cfRule type="expression" priority="56" aboveAverage="0" equalAverage="0" bottom="0" percent="0" rank="0" text="" dxfId="0">
      <formula>AND(ISNUMBER(H43),$E43&lt;&gt;"",H43&gt;=$E43)</formula>
    </cfRule>
  </conditionalFormatting>
  <printOptions headings="false" gridLines="false" gridLinesSet="true" horizontalCentered="true" verticalCentered="false"/>
  <pageMargins left="0.4" right="0.4" top="0.5" bottom="0.5" header="0.5" footer="0.5"/>
  <pageSetup paperSize="77" scale="100" fitToWidth="1" fitToHeight="0" pageOrder="downThenOver" orientation="landscape" blackAndWhite="false" draft="false" cellComments="none" horizontalDpi="300" verticalDpi="300" copies="1"/>
  <headerFooter differentFirst="true" differentOddEven="false">
    <oddHeader/>
    <oddFooter/>
    <firstHeader/>
    <firstFooter/>
  </headerFooter>
  <rowBreaks count="1" manualBreakCount="1">
    <brk id="33" man="true" max="16383" min="0"/>
  </rowBreaks>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2026-10-15T02:57:06Z</dcterms:created>
  <dc:creator>openpyxl</dc:creator>
  <dc:description/>
  <dc:language>en-US</dc:language>
  <cp:lastModifiedBy/>
  <dcterms:modified xsi:type="dcterms:W3CDTF">2026-10-26T05:30:03Z</dcterms:modified>
  <cp:revision>0</cp:revision>
  <dc:subject/>
  <dc:title/>
</cp:coreProperties>
</file>